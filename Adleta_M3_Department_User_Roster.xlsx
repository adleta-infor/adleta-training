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istenBickerstaff\Documents\"/>
    </mc:Choice>
  </mc:AlternateContent>
  <xr:revisionPtr revIDLastSave="0" documentId="13_ncr:1_{4CB52ABF-1CF3-4B5F-A932-D7DACF3527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ster" sheetId="1" r:id="rId1"/>
    <sheet name="Summary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G9" i="2"/>
  <c r="F9" i="2"/>
  <c r="E9" i="2"/>
  <c r="D9" i="2"/>
  <c r="C9" i="2"/>
  <c r="H8" i="2"/>
  <c r="G8" i="2"/>
  <c r="F8" i="2"/>
  <c r="E8" i="2"/>
  <c r="D8" i="2"/>
  <c r="C8" i="2"/>
  <c r="H7" i="2"/>
  <c r="G7" i="2"/>
  <c r="F7" i="2"/>
  <c r="E7" i="2"/>
  <c r="D7" i="2"/>
  <c r="C7" i="2"/>
  <c r="H6" i="2"/>
  <c r="G6" i="2"/>
  <c r="F6" i="2"/>
  <c r="E6" i="2"/>
  <c r="D6" i="2"/>
  <c r="C6" i="2"/>
  <c r="H5" i="2"/>
  <c r="G5" i="2"/>
  <c r="F5" i="2"/>
  <c r="E5" i="2"/>
  <c r="D5" i="2"/>
  <c r="C5" i="2"/>
  <c r="H4" i="2"/>
  <c r="G4" i="2"/>
  <c r="F4" i="2"/>
  <c r="E4" i="2"/>
  <c r="D4" i="2"/>
  <c r="C4" i="2"/>
  <c r="H3" i="2"/>
  <c r="G3" i="2"/>
  <c r="F3" i="2"/>
  <c r="E3" i="2"/>
  <c r="D3" i="2"/>
  <c r="C3" i="2"/>
  <c r="E10" i="2" l="1"/>
  <c r="F10" i="2"/>
  <c r="G10" i="2"/>
  <c r="C10" i="2"/>
  <c r="D10" i="2"/>
  <c r="H10" i="2"/>
</calcChain>
</file>

<file path=xl/sharedStrings.xml><?xml version="1.0" encoding="utf-8"?>
<sst xmlns="http://schemas.openxmlformats.org/spreadsheetml/2006/main" count="718" uniqueCount="364">
  <si>
    <t>Adleta Infor M3 — Department User Roster</t>
  </si>
  <si>
    <t>Super User</t>
  </si>
  <si>
    <t>Department</t>
  </si>
  <si>
    <t>First Name</t>
  </si>
  <si>
    <t>Last Name</t>
  </si>
  <si>
    <t>Job Title</t>
  </si>
  <si>
    <t>Email</t>
  </si>
  <si>
    <t>Training Status</t>
  </si>
  <si>
    <t>Notes</t>
  </si>
  <si>
    <t>Alan Burk</t>
  </si>
  <si>
    <t>Purchasing / Inventory Control</t>
  </si>
  <si>
    <t>Jose</t>
  </si>
  <si>
    <t>Najera</t>
  </si>
  <si>
    <t>Inventory Control</t>
  </si>
  <si>
    <t>jose.najera@adleta.com</t>
  </si>
  <si>
    <t>Not Scheduled</t>
  </si>
  <si>
    <t>Mark</t>
  </si>
  <si>
    <t>Smith</t>
  </si>
  <si>
    <t>Inventory Control Supervisor</t>
  </si>
  <si>
    <t>mark.smith@adleta.com</t>
  </si>
  <si>
    <t>Tommy</t>
  </si>
  <si>
    <t>Whitworth</t>
  </si>
  <si>
    <t>Replenishment Manager</t>
  </si>
  <si>
    <t>tommy.whitworth@adleta.com</t>
  </si>
  <si>
    <t>Xavier</t>
  </si>
  <si>
    <t>Juarez</t>
  </si>
  <si>
    <t>Warehouse Inventory Control Assistant</t>
  </si>
  <si>
    <t>xavier.juarez@adleta.com</t>
  </si>
  <si>
    <t>Jose Manjarrez</t>
  </si>
  <si>
    <t>Warehouse</t>
  </si>
  <si>
    <t>Adolfo</t>
  </si>
  <si>
    <t>Sotelo</t>
  </si>
  <si>
    <t>adolfo.sotelo@adleta.com</t>
  </si>
  <si>
    <t>Daniel</t>
  </si>
  <si>
    <t>Molina</t>
  </si>
  <si>
    <t>1st Shift Warehouse Supervisor</t>
  </si>
  <si>
    <t>daniel.molina@adleta.com</t>
  </si>
  <si>
    <t>Enrique</t>
  </si>
  <si>
    <t>Manjarrez</t>
  </si>
  <si>
    <t>Warehouse Manager</t>
  </si>
  <si>
    <t>enrique.manjarrez@adleta.com</t>
  </si>
  <si>
    <t>Erasto</t>
  </si>
  <si>
    <t>Solache</t>
  </si>
  <si>
    <t>2nd Shift Warehouse Supervisor</t>
  </si>
  <si>
    <t>erasto.solache@adleta.com</t>
  </si>
  <si>
    <t>Fernando</t>
  </si>
  <si>
    <t>Abarca</t>
  </si>
  <si>
    <t>fernando.abarca@adleta.com</t>
  </si>
  <si>
    <t>Francisco</t>
  </si>
  <si>
    <t>fancisco.manjarrez@adleta.com</t>
  </si>
  <si>
    <t>Ramirez</t>
  </si>
  <si>
    <t>francisco.ramirez@adleta.com</t>
  </si>
  <si>
    <t>Ira</t>
  </si>
  <si>
    <t>Arnold</t>
  </si>
  <si>
    <t>ira.arnold@adleta.com</t>
  </si>
  <si>
    <t>Jason</t>
  </si>
  <si>
    <t>Sanchez</t>
  </si>
  <si>
    <t>jason.sanchez@adleta.com</t>
  </si>
  <si>
    <t>Jesus</t>
  </si>
  <si>
    <t>Barrentes</t>
  </si>
  <si>
    <t>jesus.barrentes@adleta.com</t>
  </si>
  <si>
    <t>Batista</t>
  </si>
  <si>
    <t>jose.batista@adleta.com</t>
  </si>
  <si>
    <t>Corral</t>
  </si>
  <si>
    <t>jose.corral@adleta.com</t>
  </si>
  <si>
    <t>Jovan</t>
  </si>
  <si>
    <t>Torres</t>
  </si>
  <si>
    <t>Dock Supervisor</t>
  </si>
  <si>
    <t>jovan.torres@adleta.com</t>
  </si>
  <si>
    <t>Juan</t>
  </si>
  <si>
    <t>Newburn</t>
  </si>
  <si>
    <t>juan.newburn@adleta.com</t>
  </si>
  <si>
    <t>Juana</t>
  </si>
  <si>
    <t>Guajardo</t>
  </si>
  <si>
    <t>juana.guajardo@adleta.com</t>
  </si>
  <si>
    <t>Luis</t>
  </si>
  <si>
    <t>Rodriguez</t>
  </si>
  <si>
    <t>luis.rodruguez@adleta.com</t>
  </si>
  <si>
    <t>Marcus</t>
  </si>
  <si>
    <t>London</t>
  </si>
  <si>
    <t>marcus.london@adleta.com</t>
  </si>
  <si>
    <t>Robert</t>
  </si>
  <si>
    <t>Warehouse 2nd Shift Supervisor</t>
  </si>
  <si>
    <t>robert.rodriguez@adleta.com</t>
  </si>
  <si>
    <t>Steven</t>
  </si>
  <si>
    <t>Dixon</t>
  </si>
  <si>
    <t>steven.dixon@adleta.com</t>
  </si>
  <si>
    <t>Teresa</t>
  </si>
  <si>
    <t>Harper</t>
  </si>
  <si>
    <t>Warehouse Manager - Little Rock</t>
  </si>
  <si>
    <t>teresa.harper@adleta.com</t>
  </si>
  <si>
    <t>Vince</t>
  </si>
  <si>
    <t>Terrano</t>
  </si>
  <si>
    <t>vince.terrano@adleta.com</t>
  </si>
  <si>
    <t>Tony Shipka</t>
  </si>
  <si>
    <t>Customer Service / Order Entry</t>
  </si>
  <si>
    <t>Amanda</t>
  </si>
  <si>
    <t>Diaz</t>
  </si>
  <si>
    <t>Customer Service</t>
  </si>
  <si>
    <t>amanda.diaz@adleta.com</t>
  </si>
  <si>
    <t>Ariana</t>
  </si>
  <si>
    <t>Rojas</t>
  </si>
  <si>
    <t>Customer Service Representative</t>
  </si>
  <si>
    <t>ariana.rojas@adleta.com</t>
  </si>
  <si>
    <t>Linda</t>
  </si>
  <si>
    <t>Morrison</t>
  </si>
  <si>
    <t>Customer Service Rep</t>
  </si>
  <si>
    <t>linda.morrison@adleta.com</t>
  </si>
  <si>
    <t>Natalie</t>
  </si>
  <si>
    <t>Parsons</t>
  </si>
  <si>
    <t>natalie.parsons@adleta.com</t>
  </si>
  <si>
    <t>Randy</t>
  </si>
  <si>
    <t>Pittman</t>
  </si>
  <si>
    <t>randy.pittman@adleta.com</t>
  </si>
  <si>
    <t>Sonie</t>
  </si>
  <si>
    <t>Johnson</t>
  </si>
  <si>
    <t>Customer Service Team Lead / Operations Representative</t>
  </si>
  <si>
    <t>sonie.johnson@adleta.com</t>
  </si>
  <si>
    <t>Stephen</t>
  </si>
  <si>
    <t>Vickers</t>
  </si>
  <si>
    <t>stephen.vickers@adleta.com</t>
  </si>
  <si>
    <t>Tanesha</t>
  </si>
  <si>
    <t>Benjamin</t>
  </si>
  <si>
    <t>Business Development and Support Specialist</t>
  </si>
  <si>
    <t>tanesha.benjamin@adleta.com</t>
  </si>
  <si>
    <t>Jeanell Coral</t>
  </si>
  <si>
    <t>Sales</t>
  </si>
  <si>
    <t>Bill</t>
  </si>
  <si>
    <t>Guyton</t>
  </si>
  <si>
    <t>Account Manager</t>
  </si>
  <si>
    <t>bill.guyton@adleta.com</t>
  </si>
  <si>
    <t>Brandon</t>
  </si>
  <si>
    <t>Mitchell</t>
  </si>
  <si>
    <t>brandon.mitchell@adleta.com</t>
  </si>
  <si>
    <t>Connor</t>
  </si>
  <si>
    <t>Faron</t>
  </si>
  <si>
    <t>connor.faron@adleta.com</t>
  </si>
  <si>
    <t>Danny</t>
  </si>
  <si>
    <t>Fahey</t>
  </si>
  <si>
    <t>South Regional Sales Manager</t>
  </si>
  <si>
    <t>danny.fahey@adleta.com</t>
  </si>
  <si>
    <t>Debbi</t>
  </si>
  <si>
    <t>Cona</t>
  </si>
  <si>
    <t>Pricing and Claims Coordinator</t>
  </si>
  <si>
    <t>debbi.cona@adleta.com</t>
  </si>
  <si>
    <t>Dena</t>
  </si>
  <si>
    <t>Jennings</t>
  </si>
  <si>
    <t>Commercial Manager</t>
  </si>
  <si>
    <t>dena.jennings@adleta.com</t>
  </si>
  <si>
    <t>Elmer</t>
  </si>
  <si>
    <t>Heringer</t>
  </si>
  <si>
    <t>Regional Manager Commercial Floors</t>
  </si>
  <si>
    <t>elmer.heringer@adleta.com</t>
  </si>
  <si>
    <t>Gary</t>
  </si>
  <si>
    <t>Biffle</t>
  </si>
  <si>
    <t>Sales/Displays Manager</t>
  </si>
  <si>
    <t>gary.biffle@adleta.com</t>
  </si>
  <si>
    <t>Glen</t>
  </si>
  <si>
    <t>Sivils</t>
  </si>
  <si>
    <t>Sales Manager - DFW Contract</t>
  </si>
  <si>
    <t>glen.sivils@adleta.com</t>
  </si>
  <si>
    <t>Heath</t>
  </si>
  <si>
    <t>Nix</t>
  </si>
  <si>
    <t>heath.nix@adleta.com</t>
  </si>
  <si>
    <t>Jarrett</t>
  </si>
  <si>
    <t>Stewart</t>
  </si>
  <si>
    <t>jarrett.stewart@adleta.com</t>
  </si>
  <si>
    <t>Jeff</t>
  </si>
  <si>
    <t>Lovelace</t>
  </si>
  <si>
    <t>jeff.lovelace@adleta.com</t>
  </si>
  <si>
    <t>Jennifer</t>
  </si>
  <si>
    <t>Chadwick</t>
  </si>
  <si>
    <t>Western TN - Northern MS Account Manager</t>
  </si>
  <si>
    <t>jennifer.chadwick@adleta.com</t>
  </si>
  <si>
    <t>jennifer.johnson@adleta.com</t>
  </si>
  <si>
    <t>Jeremy</t>
  </si>
  <si>
    <t>Eby</t>
  </si>
  <si>
    <t>jeremy.eby@adleta.com</t>
  </si>
  <si>
    <t>Jessica</t>
  </si>
  <si>
    <t>Wolfe</t>
  </si>
  <si>
    <t>jessica.wolfe@adleta.com</t>
  </si>
  <si>
    <t>Joel</t>
  </si>
  <si>
    <t>Yount</t>
  </si>
  <si>
    <t>joel.yount@adleta.com</t>
  </si>
  <si>
    <t>John</t>
  </si>
  <si>
    <t>Morgan</t>
  </si>
  <si>
    <t>john.morgan@adleta.com</t>
  </si>
  <si>
    <t>Jordan</t>
  </si>
  <si>
    <t>Edmonds</t>
  </si>
  <si>
    <t>Contract Sales</t>
  </si>
  <si>
    <t>jordan.edmonds@adleta.com</t>
  </si>
  <si>
    <t>Justin</t>
  </si>
  <si>
    <t>Daniels</t>
  </si>
  <si>
    <t>VP Commercial Division</t>
  </si>
  <si>
    <t>justin.daniels@adleta.com</t>
  </si>
  <si>
    <t>Kayle</t>
  </si>
  <si>
    <t>Williams</t>
  </si>
  <si>
    <t>Contract Specialist</t>
  </si>
  <si>
    <t>kayle.williams@adleta.com</t>
  </si>
  <si>
    <t>Kristine</t>
  </si>
  <si>
    <t>Noblett</t>
  </si>
  <si>
    <t>kristine.noblett@adleta.com</t>
  </si>
  <si>
    <t>Kurt</t>
  </si>
  <si>
    <t>Gastrock</t>
  </si>
  <si>
    <t>kurt.gastrock@adleta.com</t>
  </si>
  <si>
    <t>Lane</t>
  </si>
  <si>
    <t>Stephenson</t>
  </si>
  <si>
    <t>lane.stephenson@adleta.com</t>
  </si>
  <si>
    <t>Lariah</t>
  </si>
  <si>
    <t>lariah.johnson@adleta.com</t>
  </si>
  <si>
    <t>Laura</t>
  </si>
  <si>
    <t>Bagwell</t>
  </si>
  <si>
    <t>Senior Manager Marketing</t>
  </si>
  <si>
    <t>laura.bagwell@adleta.com</t>
  </si>
  <si>
    <t>Lisa</t>
  </si>
  <si>
    <t>Kennedy</t>
  </si>
  <si>
    <t>lisa.kennedy@adleta.com</t>
  </si>
  <si>
    <t>Burgess</t>
  </si>
  <si>
    <t>Multi-Family Manager DFW</t>
  </si>
  <si>
    <t>mark.burgess@adleta.com</t>
  </si>
  <si>
    <t>Matt</t>
  </si>
  <si>
    <t>Brady</t>
  </si>
  <si>
    <t>matt.brady@adleta.com</t>
  </si>
  <si>
    <t>Mike</t>
  </si>
  <si>
    <t>Ratliff</t>
  </si>
  <si>
    <t>North Regional Manager</t>
  </si>
  <si>
    <t>mike.ratliff@adleta.com</t>
  </si>
  <si>
    <t>Patty</t>
  </si>
  <si>
    <t>McClain</t>
  </si>
  <si>
    <t>patty.mcclain@adleta.com</t>
  </si>
  <si>
    <t>Rochelle</t>
  </si>
  <si>
    <t>Riedel</t>
  </si>
  <si>
    <t>Rochelle.Riedel@adleta.com</t>
  </si>
  <si>
    <t>Ryan</t>
  </si>
  <si>
    <t>Kyger</t>
  </si>
  <si>
    <t>ryan.kyger@adleta.com</t>
  </si>
  <si>
    <t>Sara</t>
  </si>
  <si>
    <t>Saunders</t>
  </si>
  <si>
    <t>sara.saunders@adleta.com</t>
  </si>
  <si>
    <t>Sherry</t>
  </si>
  <si>
    <t>McFarlane</t>
  </si>
  <si>
    <t>sherry.mcfarlane@adleta.com</t>
  </si>
  <si>
    <t>Skip</t>
  </si>
  <si>
    <t>Gilgan</t>
  </si>
  <si>
    <t>skip.gilgan@adleta.com</t>
  </si>
  <si>
    <t>Tim</t>
  </si>
  <si>
    <t>Skwarek</t>
  </si>
  <si>
    <t>Commercial Account Manager</t>
  </si>
  <si>
    <t>tim.skwarek@adleta.com</t>
  </si>
  <si>
    <t>Philip Jones</t>
  </si>
  <si>
    <t>Accounting / Finance</t>
  </si>
  <si>
    <t>Credit Manager</t>
  </si>
  <si>
    <t>Antoinette</t>
  </si>
  <si>
    <t>antoinette.diaz@adleta.com</t>
  </si>
  <si>
    <t>Brandy</t>
  </si>
  <si>
    <t>McGee</t>
  </si>
  <si>
    <t>Staff Accountant</t>
  </si>
  <si>
    <t>brandy.mcgee@adleta.com</t>
  </si>
  <si>
    <t>Desiree</t>
  </si>
  <si>
    <t>Parker</t>
  </si>
  <si>
    <t>Credit Assistant</t>
  </si>
  <si>
    <t>desiree.parker@adleta.com</t>
  </si>
  <si>
    <t>Jaime</t>
  </si>
  <si>
    <t>Vice President Credit and Collections</t>
  </si>
  <si>
    <t>jaime.johnson@adleta.com</t>
  </si>
  <si>
    <t>Joanna</t>
  </si>
  <si>
    <t>Myles</t>
  </si>
  <si>
    <t>joanna.myles@adleta.com</t>
  </si>
  <si>
    <t>Jones</t>
  </si>
  <si>
    <t>Virginia</t>
  </si>
  <si>
    <t>Ray</t>
  </si>
  <si>
    <t>virginia.ray@adleta.com</t>
  </si>
  <si>
    <t>Abbey Parker</t>
  </si>
  <si>
    <t>Logistics / Transportation</t>
  </si>
  <si>
    <t>Calvin</t>
  </si>
  <si>
    <t>Daugherty</t>
  </si>
  <si>
    <t>Driver</t>
  </si>
  <si>
    <t>calvin.daugherty@adleta.com</t>
  </si>
  <si>
    <t>Carlos</t>
  </si>
  <si>
    <t>Rossette</t>
  </si>
  <si>
    <t>Warehouse/Driver</t>
  </si>
  <si>
    <t>carlos.rosete@adleta.com</t>
  </si>
  <si>
    <t>David</t>
  </si>
  <si>
    <t>Shipping Coordinator</t>
  </si>
  <si>
    <t>david.molina@adleta.com</t>
  </si>
  <si>
    <t>Porter</t>
  </si>
  <si>
    <t>david.porter@adleta.com</t>
  </si>
  <si>
    <t>Eddie</t>
  </si>
  <si>
    <t>McGuire</t>
  </si>
  <si>
    <t>eddie.mcguire@adleta.com</t>
  </si>
  <si>
    <t>James</t>
  </si>
  <si>
    <t>Sims</t>
  </si>
  <si>
    <t>james.sims@adleta.com</t>
  </si>
  <si>
    <t>Lee</t>
  </si>
  <si>
    <t>lee.smith@adleta.com</t>
  </si>
  <si>
    <t>Butts</t>
  </si>
  <si>
    <t>mark.butts@adleta.com</t>
  </si>
  <si>
    <t>Marvin</t>
  </si>
  <si>
    <t>marvin.jones@adleta.com</t>
  </si>
  <si>
    <t>Michael</t>
  </si>
  <si>
    <t>Sanders</t>
  </si>
  <si>
    <t>michael.sanders@adleta.com</t>
  </si>
  <si>
    <t>Ronald</t>
  </si>
  <si>
    <t>Baty</t>
  </si>
  <si>
    <t>ronald.baty@adleta.com</t>
  </si>
  <si>
    <t>Sammy</t>
  </si>
  <si>
    <t>Felder</t>
  </si>
  <si>
    <t>sammy.felder@adleta.com</t>
  </si>
  <si>
    <t>Terry</t>
  </si>
  <si>
    <t>Burns</t>
  </si>
  <si>
    <t>West Texas Driver</t>
  </si>
  <si>
    <t>terry.burns@adleta.com</t>
  </si>
  <si>
    <t>Van</t>
  </si>
  <si>
    <t>Boardingham</t>
  </si>
  <si>
    <t>van.boardingham@adleta.com</t>
  </si>
  <si>
    <t>Lauren Calvey</t>
  </si>
  <si>
    <t>Product Management</t>
  </si>
  <si>
    <t>Chris</t>
  </si>
  <si>
    <t>Helmick</t>
  </si>
  <si>
    <t>Wood Product Manager</t>
  </si>
  <si>
    <t>chris.helmick@adleta.com</t>
  </si>
  <si>
    <t>Heinemann</t>
  </si>
  <si>
    <t>Residential LVT &amp; Laminate Product Manager</t>
  </si>
  <si>
    <t>matt.heinemann@adleta.com</t>
  </si>
  <si>
    <t>Adleta Infor M3 — Training Status Summary</t>
  </si>
  <si>
    <t>Total Users</t>
  </si>
  <si>
    <t>Scheduled</t>
  </si>
  <si>
    <t>In Training</t>
  </si>
  <si>
    <t>Completed</t>
  </si>
  <si>
    <t>Needs Follow-up</t>
  </si>
  <si>
    <t>Sales / CRM &amp; Pricing / Reporting</t>
  </si>
  <si>
    <t>Accounting</t>
  </si>
  <si>
    <t>TOTAL</t>
  </si>
  <si>
    <t>How To Use This Workbook</t>
  </si>
  <si>
    <t>ROSTER</t>
  </si>
  <si>
    <t>1.</t>
  </si>
  <si>
    <t>Go to the Roster tab.</t>
  </si>
  <si>
    <t>2.</t>
  </si>
  <si>
    <t>All current Adleta employees have been pre-populated based on department.</t>
  </si>
  <si>
    <t>3.</t>
  </si>
  <si>
    <t>Super User: the assigned super user for each person's department is already set.</t>
  </si>
  <si>
    <t>4.</t>
  </si>
  <si>
    <t>Training Status: update each person's status as training progresses.</t>
  </si>
  <si>
    <t>5.</t>
  </si>
  <si>
    <t>Notes: add shift, location, priority, or specific topic needs.</t>
  </si>
  <si>
    <t>6.</t>
  </si>
  <si>
    <t>To add a new employee: fill in a blank row at the bottom.</t>
  </si>
  <si>
    <t>7.</t>
  </si>
  <si>
    <t>To add more rows: copy an existing row to preserve formatting and dropdowns.</t>
  </si>
  <si>
    <t>SUMMARY</t>
  </si>
  <si>
    <t>*</t>
  </si>
  <si>
    <t>The Summary tab automatically counts users and status totals for each super user.</t>
  </si>
  <si>
    <t>It updates automatically as you update the Roster — no manual changes needed.</t>
  </si>
  <si>
    <t>Use it to track overall training progress at a glance.</t>
  </si>
  <si>
    <t>STATUSES</t>
  </si>
  <si>
    <t>Not Scheduled — training has not yet been scheduled for this person.</t>
  </si>
  <si>
    <t>Scheduled — training date is confirmed.</t>
  </si>
  <si>
    <t>In Training — currently working through training sessions.</t>
  </si>
  <si>
    <t>Completed — all required training finished.</t>
  </si>
  <si>
    <t>Needs Follow-up — completed but needs additional coaching or recheck.</t>
  </si>
  <si>
    <t>TIPS</t>
  </si>
  <si>
    <t>Sort or filter by Super User or Training Status to focus on one group.</t>
  </si>
  <si>
    <t>Update Training Status regularly so the Summary stays accurate.</t>
  </si>
  <si>
    <t>Contact KRISTENB to add a new super user to the dropdown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</si>
</sst>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F1F2E"/>
      <name val="Arial"/>
    </font>
    <font>
      <b/>
      <sz val="10"/>
      <color rgb="FF0F1F2E"/>
      <name val="Arial"/>
    </font>
    <font>
      <b/>
      <sz val="10"/>
      <color rgb="FF2D6FA3"/>
      <name val="Arial"/>
    </font>
    <font>
      <b/>
      <sz val="10"/>
      <color rgb="FF1A7A6D"/>
      <name val="Arial"/>
    </font>
  </fonts>
  <fills count="6">
    <fill>
      <patternFill patternType="none"/>
    </fill>
    <fill>
      <patternFill patternType="gray125"/>
    </fill>
    <fill>
      <patternFill patternType="solid">
        <fgColor rgb="FF0F2133"/>
      </patternFill>
    </fill>
    <fill>
      <patternFill patternType="solid">
        <fgColor rgb="FF1A7A6D"/>
      </patternFill>
    </fill>
    <fill>
      <patternFill patternType="solid">
        <fgColor rgb="FFF7F9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1A7A6D"/>
      </left>
      <right style="thin">
        <color rgb="FF1A7A6D"/>
      </right>
      <top style="thin">
        <color rgb="FF1A7A6D"/>
      </top>
      <bottom style="thin">
        <color rgb="FF1A7A6D"/>
      </bottom>
      <diagonal/>
    </border>
    <border>
      <left style="thin">
        <color rgb="FFDDE5ED"/>
      </left>
      <right style="thin">
        <color rgb="FFDDE5ED"/>
      </right>
      <top style="thin">
        <color rgb="FFDDE5ED"/>
      </top>
      <bottom style="thin">
        <color rgb="FFDDE5ED"/>
      </bottom>
      <diagonal/>
    </border>
    <border>
      <left style="thin">
        <color rgb="FF0F2133"/>
      </left>
      <right style="thin">
        <color rgb="FF0F2133"/>
      </right>
      <top style="thin">
        <color rgb="FF0F2133"/>
      </top>
      <bottom style="thin">
        <color rgb="FF0F213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showGridLines="0" tabSelected="1" workbookViewId="0">
      <pane ySplit="2" topLeftCell="A3" activePane="bottomLeft" state="frozen"/>
      <selection pane="bottomLeft" activeCell="C96" sqref="C96"/>
    </sheetView>
  </sheetViews>
  <sheetFormatPr defaultRowHeight="14.4" x14ac:dyDescent="0.3"/>
  <cols>
    <col min="1" max="1" width="24" customWidth="1"/>
    <col min="2" max="2" width="32" customWidth="1"/>
    <col min="3" max="4" width="16" customWidth="1"/>
    <col min="5" max="6" width="36" customWidth="1"/>
    <col min="7" max="7" width="18" customWidth="1"/>
    <col min="8" max="8" width="30" customWidth="1"/>
  </cols>
  <sheetData>
    <row r="1" spans="1:8" ht="36" customHeight="1" x14ac:dyDescent="0.3">
      <c r="A1" s="17" t="s">
        <v>0</v>
      </c>
      <c r="B1" s="18"/>
      <c r="C1" s="18"/>
      <c r="D1" s="18"/>
      <c r="E1" s="18"/>
      <c r="F1" s="18"/>
      <c r="G1" s="18"/>
      <c r="H1" s="18"/>
    </row>
    <row r="2" spans="1:8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9.95" customHeight="1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/>
    </row>
    <row r="4" spans="1:8" ht="19.95" customHeight="1" x14ac:dyDescent="0.3">
      <c r="A4" s="3" t="s">
        <v>9</v>
      </c>
      <c r="B4" s="3" t="s">
        <v>10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15</v>
      </c>
      <c r="H4" s="3"/>
    </row>
    <row r="5" spans="1:8" ht="19.95" customHeight="1" x14ac:dyDescent="0.3">
      <c r="A5" s="2" t="s">
        <v>9</v>
      </c>
      <c r="B5" s="2" t="s">
        <v>10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15</v>
      </c>
      <c r="H5" s="2"/>
    </row>
    <row r="6" spans="1:8" ht="19.95" customHeight="1" x14ac:dyDescent="0.3">
      <c r="A6" s="3" t="s">
        <v>9</v>
      </c>
      <c r="B6" s="3" t="s">
        <v>10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15</v>
      </c>
      <c r="H6" s="3"/>
    </row>
    <row r="7" spans="1:8" ht="19.95" customHeight="1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29</v>
      </c>
      <c r="F7" s="2" t="s">
        <v>32</v>
      </c>
      <c r="G7" s="2" t="s">
        <v>15</v>
      </c>
      <c r="H7" s="2"/>
    </row>
    <row r="8" spans="1:8" ht="19.95" customHeight="1" x14ac:dyDescent="0.3">
      <c r="A8" s="3" t="s">
        <v>28</v>
      </c>
      <c r="B8" s="3" t="s">
        <v>29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15</v>
      </c>
      <c r="H8" s="3"/>
    </row>
    <row r="9" spans="1:8" ht="19.95" customHeight="1" x14ac:dyDescent="0.3">
      <c r="A9" s="2" t="s">
        <v>28</v>
      </c>
      <c r="B9" s="2" t="s">
        <v>29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15</v>
      </c>
      <c r="H9" s="2"/>
    </row>
    <row r="10" spans="1:8" ht="19.95" customHeight="1" x14ac:dyDescent="0.3">
      <c r="A10" s="3" t="s">
        <v>28</v>
      </c>
      <c r="B10" s="3" t="s">
        <v>29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15</v>
      </c>
      <c r="H10" s="3"/>
    </row>
    <row r="11" spans="1:8" ht="19.95" customHeight="1" x14ac:dyDescent="0.3">
      <c r="A11" s="2" t="s">
        <v>28</v>
      </c>
      <c r="B11" s="2" t="s">
        <v>29</v>
      </c>
      <c r="C11" s="2" t="s">
        <v>45</v>
      </c>
      <c r="D11" s="2" t="s">
        <v>46</v>
      </c>
      <c r="E11" s="2" t="s">
        <v>29</v>
      </c>
      <c r="F11" s="2" t="s">
        <v>47</v>
      </c>
      <c r="G11" s="2" t="s">
        <v>15</v>
      </c>
      <c r="H11" s="2"/>
    </row>
    <row r="12" spans="1:8" ht="19.95" customHeight="1" x14ac:dyDescent="0.3">
      <c r="A12" s="3" t="s">
        <v>28</v>
      </c>
      <c r="B12" s="3" t="s">
        <v>29</v>
      </c>
      <c r="C12" s="3" t="s">
        <v>48</v>
      </c>
      <c r="D12" s="3" t="s">
        <v>38</v>
      </c>
      <c r="E12" s="3" t="s">
        <v>29</v>
      </c>
      <c r="F12" s="3" t="s">
        <v>49</v>
      </c>
      <c r="G12" s="3" t="s">
        <v>15</v>
      </c>
      <c r="H12" s="3"/>
    </row>
    <row r="13" spans="1:8" ht="19.95" customHeight="1" x14ac:dyDescent="0.3">
      <c r="A13" s="2" t="s">
        <v>28</v>
      </c>
      <c r="B13" s="2" t="s">
        <v>29</v>
      </c>
      <c r="C13" s="2" t="s">
        <v>48</v>
      </c>
      <c r="D13" s="2" t="s">
        <v>50</v>
      </c>
      <c r="E13" s="2" t="s">
        <v>29</v>
      </c>
      <c r="F13" s="2" t="s">
        <v>51</v>
      </c>
      <c r="G13" s="2" t="s">
        <v>15</v>
      </c>
      <c r="H13" s="2"/>
    </row>
    <row r="14" spans="1:8" ht="19.95" customHeight="1" x14ac:dyDescent="0.3">
      <c r="A14" s="3" t="s">
        <v>28</v>
      </c>
      <c r="B14" s="3" t="s">
        <v>29</v>
      </c>
      <c r="C14" s="3" t="s">
        <v>52</v>
      </c>
      <c r="D14" s="3" t="s">
        <v>53</v>
      </c>
      <c r="E14" s="3" t="s">
        <v>29</v>
      </c>
      <c r="F14" s="3" t="s">
        <v>54</v>
      </c>
      <c r="G14" s="3" t="s">
        <v>15</v>
      </c>
      <c r="H14" s="3"/>
    </row>
    <row r="15" spans="1:8" ht="19.95" customHeight="1" x14ac:dyDescent="0.3">
      <c r="A15" s="2" t="s">
        <v>28</v>
      </c>
      <c r="B15" s="2" t="s">
        <v>29</v>
      </c>
      <c r="C15" s="2" t="s">
        <v>55</v>
      </c>
      <c r="D15" s="2" t="s">
        <v>56</v>
      </c>
      <c r="E15" s="2" t="s">
        <v>29</v>
      </c>
      <c r="F15" s="2" t="s">
        <v>57</v>
      </c>
      <c r="G15" s="2" t="s">
        <v>15</v>
      </c>
      <c r="H15" s="2"/>
    </row>
    <row r="16" spans="1:8" ht="19.95" customHeight="1" x14ac:dyDescent="0.3">
      <c r="A16" s="3" t="s">
        <v>28</v>
      </c>
      <c r="B16" s="3" t="s">
        <v>29</v>
      </c>
      <c r="C16" s="3" t="s">
        <v>58</v>
      </c>
      <c r="D16" s="3" t="s">
        <v>59</v>
      </c>
      <c r="E16" s="3" t="s">
        <v>29</v>
      </c>
      <c r="F16" s="3" t="s">
        <v>60</v>
      </c>
      <c r="G16" s="3" t="s">
        <v>15</v>
      </c>
      <c r="H16" s="3"/>
    </row>
    <row r="17" spans="1:8" ht="19.95" customHeight="1" x14ac:dyDescent="0.3">
      <c r="A17" s="2" t="s">
        <v>28</v>
      </c>
      <c r="B17" s="2" t="s">
        <v>29</v>
      </c>
      <c r="C17" s="2" t="s">
        <v>11</v>
      </c>
      <c r="D17" s="2" t="s">
        <v>61</v>
      </c>
      <c r="E17" s="2" t="s">
        <v>29</v>
      </c>
      <c r="F17" s="2" t="s">
        <v>62</v>
      </c>
      <c r="G17" s="2" t="s">
        <v>15</v>
      </c>
      <c r="H17" s="2"/>
    </row>
    <row r="18" spans="1:8" ht="19.95" customHeight="1" x14ac:dyDescent="0.3">
      <c r="A18" s="3" t="s">
        <v>28</v>
      </c>
      <c r="B18" s="3" t="s">
        <v>29</v>
      </c>
      <c r="C18" s="3" t="s">
        <v>11</v>
      </c>
      <c r="D18" s="3" t="s">
        <v>63</v>
      </c>
      <c r="E18" s="3" t="s">
        <v>29</v>
      </c>
      <c r="F18" s="3" t="s">
        <v>64</v>
      </c>
      <c r="G18" s="3" t="s">
        <v>15</v>
      </c>
      <c r="H18" s="3"/>
    </row>
    <row r="19" spans="1:8" ht="19.95" customHeight="1" x14ac:dyDescent="0.3">
      <c r="A19" s="2" t="s">
        <v>28</v>
      </c>
      <c r="B19" s="2" t="s">
        <v>29</v>
      </c>
      <c r="C19" s="2" t="s">
        <v>65</v>
      </c>
      <c r="D19" s="2" t="s">
        <v>66</v>
      </c>
      <c r="E19" s="2" t="s">
        <v>67</v>
      </c>
      <c r="F19" s="2" t="s">
        <v>68</v>
      </c>
      <c r="G19" s="2" t="s">
        <v>15</v>
      </c>
      <c r="H19" s="2"/>
    </row>
    <row r="20" spans="1:8" ht="19.95" customHeight="1" x14ac:dyDescent="0.3">
      <c r="A20" s="3" t="s">
        <v>28</v>
      </c>
      <c r="B20" s="3" t="s">
        <v>29</v>
      </c>
      <c r="C20" s="3" t="s">
        <v>69</v>
      </c>
      <c r="D20" s="3" t="s">
        <v>70</v>
      </c>
      <c r="E20" s="3" t="s">
        <v>29</v>
      </c>
      <c r="F20" s="3" t="s">
        <v>71</v>
      </c>
      <c r="G20" s="3" t="s">
        <v>15</v>
      </c>
      <c r="H20" s="3"/>
    </row>
    <row r="21" spans="1:8" ht="19.95" customHeight="1" x14ac:dyDescent="0.3">
      <c r="A21" s="2" t="s">
        <v>28</v>
      </c>
      <c r="B21" s="2" t="s">
        <v>29</v>
      </c>
      <c r="C21" s="2" t="s">
        <v>72</v>
      </c>
      <c r="D21" s="2" t="s">
        <v>73</v>
      </c>
      <c r="E21" s="2" t="s">
        <v>29</v>
      </c>
      <c r="F21" s="2" t="s">
        <v>74</v>
      </c>
      <c r="G21" s="2" t="s">
        <v>15</v>
      </c>
      <c r="H21" s="2"/>
    </row>
    <row r="22" spans="1:8" ht="19.95" customHeight="1" x14ac:dyDescent="0.3">
      <c r="A22" s="3" t="s">
        <v>28</v>
      </c>
      <c r="B22" s="3" t="s">
        <v>29</v>
      </c>
      <c r="C22" s="3" t="s">
        <v>75</v>
      </c>
      <c r="D22" s="3" t="s">
        <v>76</v>
      </c>
      <c r="E22" s="3" t="s">
        <v>29</v>
      </c>
      <c r="F22" s="3" t="s">
        <v>77</v>
      </c>
      <c r="G22" s="3" t="s">
        <v>15</v>
      </c>
      <c r="H22" s="3"/>
    </row>
    <row r="23" spans="1:8" ht="19.95" customHeight="1" x14ac:dyDescent="0.3">
      <c r="A23" s="2" t="s">
        <v>28</v>
      </c>
      <c r="B23" s="2" t="s">
        <v>29</v>
      </c>
      <c r="C23" s="2" t="s">
        <v>78</v>
      </c>
      <c r="D23" s="2" t="s">
        <v>79</v>
      </c>
      <c r="E23" s="2" t="s">
        <v>29</v>
      </c>
      <c r="F23" s="2" t="s">
        <v>80</v>
      </c>
      <c r="G23" s="2" t="s">
        <v>15</v>
      </c>
      <c r="H23" s="2"/>
    </row>
    <row r="24" spans="1:8" ht="19.95" customHeight="1" x14ac:dyDescent="0.3">
      <c r="A24" s="3" t="s">
        <v>28</v>
      </c>
      <c r="B24" s="3" t="s">
        <v>29</v>
      </c>
      <c r="C24" s="3" t="s">
        <v>81</v>
      </c>
      <c r="D24" s="3" t="s">
        <v>76</v>
      </c>
      <c r="E24" s="3" t="s">
        <v>82</v>
      </c>
      <c r="F24" s="3" t="s">
        <v>83</v>
      </c>
      <c r="G24" s="3" t="s">
        <v>15</v>
      </c>
      <c r="H24" s="3"/>
    </row>
    <row r="25" spans="1:8" ht="19.95" customHeight="1" x14ac:dyDescent="0.3">
      <c r="A25" s="2" t="s">
        <v>28</v>
      </c>
      <c r="B25" s="2" t="s">
        <v>29</v>
      </c>
      <c r="C25" s="2" t="s">
        <v>84</v>
      </c>
      <c r="D25" s="2" t="s">
        <v>85</v>
      </c>
      <c r="E25" s="2" t="s">
        <v>29</v>
      </c>
      <c r="F25" s="2" t="s">
        <v>86</v>
      </c>
      <c r="G25" s="2" t="s">
        <v>15</v>
      </c>
      <c r="H25" s="2"/>
    </row>
    <row r="26" spans="1:8" ht="19.95" customHeight="1" x14ac:dyDescent="0.3">
      <c r="A26" s="3" t="s">
        <v>28</v>
      </c>
      <c r="B26" s="3" t="s">
        <v>29</v>
      </c>
      <c r="C26" s="3" t="s">
        <v>87</v>
      </c>
      <c r="D26" s="3" t="s">
        <v>88</v>
      </c>
      <c r="E26" s="3" t="s">
        <v>89</v>
      </c>
      <c r="F26" s="3" t="s">
        <v>90</v>
      </c>
      <c r="G26" s="3" t="s">
        <v>15</v>
      </c>
      <c r="H26" s="3"/>
    </row>
    <row r="27" spans="1:8" ht="19.95" customHeight="1" x14ac:dyDescent="0.3">
      <c r="A27" s="2" t="s">
        <v>28</v>
      </c>
      <c r="B27" s="2" t="s">
        <v>29</v>
      </c>
      <c r="C27" s="2" t="s">
        <v>91</v>
      </c>
      <c r="D27" s="2" t="s">
        <v>92</v>
      </c>
      <c r="E27" s="2" t="s">
        <v>29</v>
      </c>
      <c r="F27" s="2" t="s">
        <v>93</v>
      </c>
      <c r="G27" s="2" t="s">
        <v>15</v>
      </c>
      <c r="H27" s="2"/>
    </row>
    <row r="28" spans="1:8" ht="19.95" customHeight="1" x14ac:dyDescent="0.3">
      <c r="A28" s="3" t="s">
        <v>94</v>
      </c>
      <c r="B28" s="3" t="s">
        <v>95</v>
      </c>
      <c r="C28" s="3" t="s">
        <v>96</v>
      </c>
      <c r="D28" s="3" t="s">
        <v>97</v>
      </c>
      <c r="E28" s="3" t="s">
        <v>98</v>
      </c>
      <c r="F28" s="3" t="s">
        <v>99</v>
      </c>
      <c r="G28" s="3" t="s">
        <v>15</v>
      </c>
      <c r="H28" s="3"/>
    </row>
    <row r="29" spans="1:8" ht="19.95" customHeight="1" x14ac:dyDescent="0.3">
      <c r="A29" s="2" t="s">
        <v>94</v>
      </c>
      <c r="B29" s="2" t="s">
        <v>95</v>
      </c>
      <c r="C29" s="2" t="s">
        <v>100</v>
      </c>
      <c r="D29" s="2" t="s">
        <v>101</v>
      </c>
      <c r="E29" s="2" t="s">
        <v>102</v>
      </c>
      <c r="F29" s="2" t="s">
        <v>103</v>
      </c>
      <c r="G29" s="2" t="s">
        <v>15</v>
      </c>
      <c r="H29" s="2"/>
    </row>
    <row r="30" spans="1:8" ht="19.95" customHeight="1" x14ac:dyDescent="0.3">
      <c r="A30" s="3" t="s">
        <v>94</v>
      </c>
      <c r="B30" s="3" t="s">
        <v>95</v>
      </c>
      <c r="C30" s="3" t="s">
        <v>104</v>
      </c>
      <c r="D30" s="3" t="s">
        <v>105</v>
      </c>
      <c r="E30" s="3" t="s">
        <v>106</v>
      </c>
      <c r="F30" s="3" t="s">
        <v>107</v>
      </c>
      <c r="G30" s="3" t="s">
        <v>15</v>
      </c>
      <c r="H30" s="3"/>
    </row>
    <row r="31" spans="1:8" ht="19.95" customHeight="1" x14ac:dyDescent="0.3">
      <c r="A31" s="2" t="s">
        <v>94</v>
      </c>
      <c r="B31" s="2" t="s">
        <v>95</v>
      </c>
      <c r="C31" s="2" t="s">
        <v>108</v>
      </c>
      <c r="D31" s="2" t="s">
        <v>109</v>
      </c>
      <c r="E31" s="2" t="s">
        <v>106</v>
      </c>
      <c r="F31" s="2" t="s">
        <v>110</v>
      </c>
      <c r="G31" s="2" t="s">
        <v>15</v>
      </c>
      <c r="H31" s="2"/>
    </row>
    <row r="32" spans="1:8" ht="19.95" customHeight="1" x14ac:dyDescent="0.3">
      <c r="A32" s="3" t="s">
        <v>94</v>
      </c>
      <c r="B32" s="3" t="s">
        <v>95</v>
      </c>
      <c r="C32" s="3" t="s">
        <v>111</v>
      </c>
      <c r="D32" s="3" t="s">
        <v>112</v>
      </c>
      <c r="E32" s="3" t="s">
        <v>106</v>
      </c>
      <c r="F32" s="3" t="s">
        <v>113</v>
      </c>
      <c r="G32" s="3" t="s">
        <v>15</v>
      </c>
      <c r="H32" s="3"/>
    </row>
    <row r="33" spans="1:8" ht="19.95" customHeight="1" x14ac:dyDescent="0.3">
      <c r="A33" s="2" t="s">
        <v>94</v>
      </c>
      <c r="B33" s="2" t="s">
        <v>95</v>
      </c>
      <c r="C33" s="2" t="s">
        <v>114</v>
      </c>
      <c r="D33" s="2" t="s">
        <v>115</v>
      </c>
      <c r="E33" s="2" t="s">
        <v>116</v>
      </c>
      <c r="F33" s="2" t="s">
        <v>117</v>
      </c>
      <c r="G33" s="2" t="s">
        <v>15</v>
      </c>
      <c r="H33" s="2"/>
    </row>
    <row r="34" spans="1:8" ht="19.95" customHeight="1" x14ac:dyDescent="0.3">
      <c r="A34" s="3" t="s">
        <v>94</v>
      </c>
      <c r="B34" s="3" t="s">
        <v>95</v>
      </c>
      <c r="C34" s="3" t="s">
        <v>118</v>
      </c>
      <c r="D34" s="3" t="s">
        <v>119</v>
      </c>
      <c r="E34" s="3" t="s">
        <v>98</v>
      </c>
      <c r="F34" s="3" t="s">
        <v>120</v>
      </c>
      <c r="G34" s="3" t="s">
        <v>15</v>
      </c>
      <c r="H34" s="3"/>
    </row>
    <row r="35" spans="1:8" ht="19.95" customHeight="1" x14ac:dyDescent="0.3">
      <c r="A35" s="2" t="s">
        <v>94</v>
      </c>
      <c r="B35" s="2" t="s">
        <v>95</v>
      </c>
      <c r="C35" s="2" t="s">
        <v>121</v>
      </c>
      <c r="D35" s="2" t="s">
        <v>122</v>
      </c>
      <c r="E35" s="2" t="s">
        <v>123</v>
      </c>
      <c r="F35" s="2" t="s">
        <v>124</v>
      </c>
      <c r="G35" s="2" t="s">
        <v>15</v>
      </c>
      <c r="H35" s="2"/>
    </row>
    <row r="36" spans="1:8" ht="19.95" customHeight="1" x14ac:dyDescent="0.3">
      <c r="A36" s="3" t="s">
        <v>125</v>
      </c>
      <c r="B36" s="3" t="s">
        <v>126</v>
      </c>
      <c r="C36" s="3" t="s">
        <v>127</v>
      </c>
      <c r="D36" s="3" t="s">
        <v>128</v>
      </c>
      <c r="E36" s="3" t="s">
        <v>129</v>
      </c>
      <c r="F36" s="3" t="s">
        <v>130</v>
      </c>
      <c r="G36" s="3" t="s">
        <v>15</v>
      </c>
      <c r="H36" s="3"/>
    </row>
    <row r="37" spans="1:8" ht="19.95" customHeight="1" x14ac:dyDescent="0.3">
      <c r="A37" s="3" t="s">
        <v>125</v>
      </c>
      <c r="B37" s="3" t="s">
        <v>126</v>
      </c>
      <c r="C37" s="3" t="s">
        <v>131</v>
      </c>
      <c r="D37" s="3" t="s">
        <v>132</v>
      </c>
      <c r="E37" s="3" t="s">
        <v>129</v>
      </c>
      <c r="F37" s="3" t="s">
        <v>133</v>
      </c>
      <c r="G37" s="3" t="s">
        <v>15</v>
      </c>
      <c r="H37" s="3"/>
    </row>
    <row r="38" spans="1:8" ht="19.95" customHeight="1" x14ac:dyDescent="0.3">
      <c r="A38" s="2" t="s">
        <v>125</v>
      </c>
      <c r="B38" s="2" t="s">
        <v>126</v>
      </c>
      <c r="C38" s="2" t="s">
        <v>134</v>
      </c>
      <c r="D38" s="2" t="s">
        <v>135</v>
      </c>
      <c r="E38" s="2" t="s">
        <v>129</v>
      </c>
      <c r="F38" s="2" t="s">
        <v>136</v>
      </c>
      <c r="G38" s="2" t="s">
        <v>15</v>
      </c>
      <c r="H38" s="2"/>
    </row>
    <row r="39" spans="1:8" ht="19.95" customHeight="1" x14ac:dyDescent="0.3">
      <c r="A39" s="3" t="s">
        <v>125</v>
      </c>
      <c r="B39" s="3" t="s">
        <v>126</v>
      </c>
      <c r="C39" s="3" t="s">
        <v>137</v>
      </c>
      <c r="D39" s="3" t="s">
        <v>138</v>
      </c>
      <c r="E39" s="3" t="s">
        <v>139</v>
      </c>
      <c r="F39" s="3" t="s">
        <v>140</v>
      </c>
      <c r="G39" s="3" t="s">
        <v>15</v>
      </c>
      <c r="H39" s="3"/>
    </row>
    <row r="40" spans="1:8" ht="19.95" customHeight="1" x14ac:dyDescent="0.3">
      <c r="A40" s="2" t="s">
        <v>125</v>
      </c>
      <c r="B40" s="2" t="s">
        <v>126</v>
      </c>
      <c r="C40" s="2" t="s">
        <v>141</v>
      </c>
      <c r="D40" s="2" t="s">
        <v>142</v>
      </c>
      <c r="E40" s="2" t="s">
        <v>143</v>
      </c>
      <c r="F40" s="2" t="s">
        <v>144</v>
      </c>
      <c r="G40" s="2" t="s">
        <v>15</v>
      </c>
      <c r="H40" s="2"/>
    </row>
    <row r="41" spans="1:8" ht="19.95" customHeight="1" x14ac:dyDescent="0.3">
      <c r="A41" s="3" t="s">
        <v>125</v>
      </c>
      <c r="B41" s="3" t="s">
        <v>126</v>
      </c>
      <c r="C41" s="3" t="s">
        <v>145</v>
      </c>
      <c r="D41" s="3" t="s">
        <v>146</v>
      </c>
      <c r="E41" s="3" t="s">
        <v>147</v>
      </c>
      <c r="F41" s="3" t="s">
        <v>148</v>
      </c>
      <c r="G41" s="3" t="s">
        <v>15</v>
      </c>
      <c r="H41" s="3"/>
    </row>
    <row r="42" spans="1:8" ht="19.95" customHeight="1" x14ac:dyDescent="0.3">
      <c r="A42" s="2" t="s">
        <v>125</v>
      </c>
      <c r="B42" s="2" t="s">
        <v>126</v>
      </c>
      <c r="C42" s="2" t="s">
        <v>149</v>
      </c>
      <c r="D42" s="2" t="s">
        <v>150</v>
      </c>
      <c r="E42" s="2" t="s">
        <v>151</v>
      </c>
      <c r="F42" s="2" t="s">
        <v>152</v>
      </c>
      <c r="G42" s="2" t="s">
        <v>15</v>
      </c>
      <c r="H42" s="2"/>
    </row>
    <row r="43" spans="1:8" ht="19.95" customHeight="1" x14ac:dyDescent="0.3">
      <c r="A43" s="3" t="s">
        <v>125</v>
      </c>
      <c r="B43" s="3" t="s">
        <v>126</v>
      </c>
      <c r="C43" s="3" t="s">
        <v>153</v>
      </c>
      <c r="D43" s="3" t="s">
        <v>154</v>
      </c>
      <c r="E43" s="3" t="s">
        <v>155</v>
      </c>
      <c r="F43" s="3" t="s">
        <v>156</v>
      </c>
      <c r="G43" s="3" t="s">
        <v>15</v>
      </c>
      <c r="H43" s="3"/>
    </row>
    <row r="44" spans="1:8" ht="19.95" customHeight="1" x14ac:dyDescent="0.3">
      <c r="A44" s="2" t="s">
        <v>125</v>
      </c>
      <c r="B44" s="2" t="s">
        <v>126</v>
      </c>
      <c r="C44" s="2" t="s">
        <v>157</v>
      </c>
      <c r="D44" s="2" t="s">
        <v>158</v>
      </c>
      <c r="E44" s="2" t="s">
        <v>159</v>
      </c>
      <c r="F44" s="2" t="s">
        <v>160</v>
      </c>
      <c r="G44" s="2" t="s">
        <v>15</v>
      </c>
      <c r="H44" s="2"/>
    </row>
    <row r="45" spans="1:8" ht="19.95" customHeight="1" x14ac:dyDescent="0.3">
      <c r="A45" s="3" t="s">
        <v>125</v>
      </c>
      <c r="B45" s="3" t="s">
        <v>126</v>
      </c>
      <c r="C45" s="3" t="s">
        <v>161</v>
      </c>
      <c r="D45" s="3" t="s">
        <v>162</v>
      </c>
      <c r="E45" s="3" t="s">
        <v>129</v>
      </c>
      <c r="F45" s="3" t="s">
        <v>163</v>
      </c>
      <c r="G45" s="3" t="s">
        <v>15</v>
      </c>
      <c r="H45" s="3"/>
    </row>
    <row r="46" spans="1:8" ht="19.95" customHeight="1" x14ac:dyDescent="0.3">
      <c r="A46" s="2" t="s">
        <v>125</v>
      </c>
      <c r="B46" s="2" t="s">
        <v>126</v>
      </c>
      <c r="C46" s="2" t="s">
        <v>164</v>
      </c>
      <c r="D46" s="2" t="s">
        <v>165</v>
      </c>
      <c r="E46" s="2" t="s">
        <v>129</v>
      </c>
      <c r="F46" s="2" t="s">
        <v>166</v>
      </c>
      <c r="G46" s="2" t="s">
        <v>15</v>
      </c>
      <c r="H46" s="2"/>
    </row>
    <row r="47" spans="1:8" ht="19.95" customHeight="1" x14ac:dyDescent="0.3">
      <c r="A47" s="3" t="s">
        <v>125</v>
      </c>
      <c r="B47" s="3" t="s">
        <v>126</v>
      </c>
      <c r="C47" s="3" t="s">
        <v>167</v>
      </c>
      <c r="D47" s="3" t="s">
        <v>168</v>
      </c>
      <c r="E47" s="3" t="s">
        <v>129</v>
      </c>
      <c r="F47" s="3" t="s">
        <v>169</v>
      </c>
      <c r="G47" s="3" t="s">
        <v>15</v>
      </c>
      <c r="H47" s="3"/>
    </row>
    <row r="48" spans="1:8" ht="19.95" customHeight="1" x14ac:dyDescent="0.3">
      <c r="A48" s="2" t="s">
        <v>125</v>
      </c>
      <c r="B48" s="2" t="s">
        <v>126</v>
      </c>
      <c r="C48" s="2" t="s">
        <v>170</v>
      </c>
      <c r="D48" s="2" t="s">
        <v>171</v>
      </c>
      <c r="E48" s="2" t="s">
        <v>172</v>
      </c>
      <c r="F48" s="2" t="s">
        <v>173</v>
      </c>
      <c r="G48" s="2" t="s">
        <v>15</v>
      </c>
      <c r="H48" s="2"/>
    </row>
    <row r="49" spans="1:8" ht="19.95" customHeight="1" x14ac:dyDescent="0.3">
      <c r="A49" s="3" t="s">
        <v>125</v>
      </c>
      <c r="B49" s="3" t="s">
        <v>126</v>
      </c>
      <c r="C49" s="3" t="s">
        <v>170</v>
      </c>
      <c r="D49" s="3" t="s">
        <v>115</v>
      </c>
      <c r="E49" s="3" t="s">
        <v>129</v>
      </c>
      <c r="F49" s="3" t="s">
        <v>174</v>
      </c>
      <c r="G49" s="3" t="s">
        <v>15</v>
      </c>
      <c r="H49" s="3"/>
    </row>
    <row r="50" spans="1:8" ht="19.95" customHeight="1" x14ac:dyDescent="0.3">
      <c r="A50" s="2" t="s">
        <v>125</v>
      </c>
      <c r="B50" s="2" t="s">
        <v>126</v>
      </c>
      <c r="C50" s="2" t="s">
        <v>175</v>
      </c>
      <c r="D50" s="2" t="s">
        <v>176</v>
      </c>
      <c r="E50" s="2" t="s">
        <v>129</v>
      </c>
      <c r="F50" s="2" t="s">
        <v>177</v>
      </c>
      <c r="G50" s="2" t="s">
        <v>15</v>
      </c>
      <c r="H50" s="2"/>
    </row>
    <row r="51" spans="1:8" ht="19.95" customHeight="1" x14ac:dyDescent="0.3">
      <c r="A51" s="3" t="s">
        <v>125</v>
      </c>
      <c r="B51" s="3" t="s">
        <v>126</v>
      </c>
      <c r="C51" s="3" t="s">
        <v>178</v>
      </c>
      <c r="D51" s="3" t="s">
        <v>179</v>
      </c>
      <c r="E51" s="3" t="s">
        <v>129</v>
      </c>
      <c r="F51" s="3" t="s">
        <v>180</v>
      </c>
      <c r="G51" s="3" t="s">
        <v>15</v>
      </c>
      <c r="H51" s="3"/>
    </row>
    <row r="52" spans="1:8" ht="19.95" customHeight="1" x14ac:dyDescent="0.3">
      <c r="A52" s="2" t="s">
        <v>125</v>
      </c>
      <c r="B52" s="2" t="s">
        <v>126</v>
      </c>
      <c r="C52" s="2" t="s">
        <v>181</v>
      </c>
      <c r="D52" s="2" t="s">
        <v>182</v>
      </c>
      <c r="E52" s="2" t="s">
        <v>129</v>
      </c>
      <c r="F52" s="2" t="s">
        <v>183</v>
      </c>
      <c r="G52" s="2" t="s">
        <v>15</v>
      </c>
      <c r="H52" s="2"/>
    </row>
    <row r="53" spans="1:8" ht="19.95" customHeight="1" x14ac:dyDescent="0.3">
      <c r="A53" s="3" t="s">
        <v>125</v>
      </c>
      <c r="B53" s="3" t="s">
        <v>126</v>
      </c>
      <c r="C53" s="3" t="s">
        <v>184</v>
      </c>
      <c r="D53" s="3" t="s">
        <v>185</v>
      </c>
      <c r="E53" s="3" t="s">
        <v>129</v>
      </c>
      <c r="F53" s="3" t="s">
        <v>186</v>
      </c>
      <c r="G53" s="3" t="s">
        <v>15</v>
      </c>
      <c r="H53" s="3"/>
    </row>
    <row r="54" spans="1:8" ht="19.95" customHeight="1" x14ac:dyDescent="0.3">
      <c r="A54" s="2" t="s">
        <v>125</v>
      </c>
      <c r="B54" s="2" t="s">
        <v>126</v>
      </c>
      <c r="C54" s="2" t="s">
        <v>187</v>
      </c>
      <c r="D54" s="2" t="s">
        <v>188</v>
      </c>
      <c r="E54" s="2" t="s">
        <v>189</v>
      </c>
      <c r="F54" s="2" t="s">
        <v>190</v>
      </c>
      <c r="G54" s="2" t="s">
        <v>15</v>
      </c>
      <c r="H54" s="2"/>
    </row>
    <row r="55" spans="1:8" ht="19.95" customHeight="1" x14ac:dyDescent="0.3">
      <c r="A55" s="3" t="s">
        <v>125</v>
      </c>
      <c r="B55" s="3" t="s">
        <v>126</v>
      </c>
      <c r="C55" s="3" t="s">
        <v>191</v>
      </c>
      <c r="D55" s="3" t="s">
        <v>192</v>
      </c>
      <c r="E55" s="3" t="s">
        <v>193</v>
      </c>
      <c r="F55" s="3" t="s">
        <v>194</v>
      </c>
      <c r="G55" s="3" t="s">
        <v>15</v>
      </c>
      <c r="H55" s="3"/>
    </row>
    <row r="56" spans="1:8" ht="19.95" customHeight="1" x14ac:dyDescent="0.3">
      <c r="A56" s="2" t="s">
        <v>125</v>
      </c>
      <c r="B56" s="2" t="s">
        <v>126</v>
      </c>
      <c r="C56" s="2" t="s">
        <v>195</v>
      </c>
      <c r="D56" s="2" t="s">
        <v>196</v>
      </c>
      <c r="E56" s="2" t="s">
        <v>197</v>
      </c>
      <c r="F56" s="2" t="s">
        <v>198</v>
      </c>
      <c r="G56" s="2" t="s">
        <v>15</v>
      </c>
      <c r="H56" s="2"/>
    </row>
    <row r="57" spans="1:8" ht="19.95" customHeight="1" x14ac:dyDescent="0.3">
      <c r="A57" s="3" t="s">
        <v>125</v>
      </c>
      <c r="B57" s="3" t="s">
        <v>126</v>
      </c>
      <c r="C57" s="3" t="s">
        <v>199</v>
      </c>
      <c r="D57" s="3" t="s">
        <v>200</v>
      </c>
      <c r="E57" s="3" t="s">
        <v>129</v>
      </c>
      <c r="F57" s="3" t="s">
        <v>201</v>
      </c>
      <c r="G57" s="3" t="s">
        <v>15</v>
      </c>
      <c r="H57" s="3"/>
    </row>
    <row r="58" spans="1:8" ht="19.95" customHeight="1" x14ac:dyDescent="0.3">
      <c r="A58" s="2" t="s">
        <v>125</v>
      </c>
      <c r="B58" s="2" t="s">
        <v>126</v>
      </c>
      <c r="C58" s="2" t="s">
        <v>202</v>
      </c>
      <c r="D58" s="2" t="s">
        <v>203</v>
      </c>
      <c r="E58" s="2" t="s">
        <v>129</v>
      </c>
      <c r="F58" s="2" t="s">
        <v>204</v>
      </c>
      <c r="G58" s="2" t="s">
        <v>15</v>
      </c>
      <c r="H58" s="2"/>
    </row>
    <row r="59" spans="1:8" ht="19.95" customHeight="1" x14ac:dyDescent="0.3">
      <c r="A59" s="3" t="s">
        <v>125</v>
      </c>
      <c r="B59" s="3" t="s">
        <v>126</v>
      </c>
      <c r="C59" s="3" t="s">
        <v>205</v>
      </c>
      <c r="D59" s="3" t="s">
        <v>206</v>
      </c>
      <c r="E59" s="3" t="s">
        <v>129</v>
      </c>
      <c r="F59" s="3" t="s">
        <v>207</v>
      </c>
      <c r="G59" s="3" t="s">
        <v>15</v>
      </c>
      <c r="H59" s="3"/>
    </row>
    <row r="60" spans="1:8" ht="19.95" customHeight="1" x14ac:dyDescent="0.3">
      <c r="A60" s="2" t="s">
        <v>125</v>
      </c>
      <c r="B60" s="2" t="s">
        <v>126</v>
      </c>
      <c r="C60" s="2" t="s">
        <v>208</v>
      </c>
      <c r="D60" s="2" t="s">
        <v>115</v>
      </c>
      <c r="E60" s="2" t="s">
        <v>197</v>
      </c>
      <c r="F60" s="2" t="s">
        <v>209</v>
      </c>
      <c r="G60" s="2" t="s">
        <v>15</v>
      </c>
      <c r="H60" s="2"/>
    </row>
    <row r="61" spans="1:8" ht="19.95" customHeight="1" x14ac:dyDescent="0.3">
      <c r="A61" s="3" t="s">
        <v>125</v>
      </c>
      <c r="B61" s="3" t="s">
        <v>126</v>
      </c>
      <c r="C61" s="3" t="s">
        <v>210</v>
      </c>
      <c r="D61" s="3" t="s">
        <v>211</v>
      </c>
      <c r="E61" s="3" t="s">
        <v>212</v>
      </c>
      <c r="F61" s="3" t="s">
        <v>213</v>
      </c>
      <c r="G61" s="3" t="s">
        <v>15</v>
      </c>
      <c r="H61" s="3"/>
    </row>
    <row r="62" spans="1:8" ht="19.95" customHeight="1" x14ac:dyDescent="0.3">
      <c r="A62" s="2" t="s">
        <v>125</v>
      </c>
      <c r="B62" s="2" t="s">
        <v>126</v>
      </c>
      <c r="C62" s="2" t="s">
        <v>214</v>
      </c>
      <c r="D62" s="2" t="s">
        <v>215</v>
      </c>
      <c r="E62" s="2" t="s">
        <v>197</v>
      </c>
      <c r="F62" s="2" t="s">
        <v>216</v>
      </c>
      <c r="G62" s="2" t="s">
        <v>15</v>
      </c>
      <c r="H62" s="2"/>
    </row>
    <row r="63" spans="1:8" ht="19.95" customHeight="1" x14ac:dyDescent="0.3">
      <c r="A63" s="3" t="s">
        <v>125</v>
      </c>
      <c r="B63" s="3" t="s">
        <v>126</v>
      </c>
      <c r="C63" s="3" t="s">
        <v>16</v>
      </c>
      <c r="D63" s="3" t="s">
        <v>217</v>
      </c>
      <c r="E63" s="3" t="s">
        <v>218</v>
      </c>
      <c r="F63" s="3" t="s">
        <v>219</v>
      </c>
      <c r="G63" s="3" t="s">
        <v>15</v>
      </c>
      <c r="H63" s="3"/>
    </row>
    <row r="64" spans="1:8" ht="19.95" customHeight="1" x14ac:dyDescent="0.3">
      <c r="A64" s="3" t="s">
        <v>125</v>
      </c>
      <c r="B64" s="3" t="s">
        <v>126</v>
      </c>
      <c r="C64" s="3" t="s">
        <v>220</v>
      </c>
      <c r="D64" s="3" t="s">
        <v>221</v>
      </c>
      <c r="E64" s="3" t="s">
        <v>129</v>
      </c>
      <c r="F64" s="3" t="s">
        <v>222</v>
      </c>
      <c r="G64" s="3" t="s">
        <v>15</v>
      </c>
      <c r="H64" s="3"/>
    </row>
    <row r="65" spans="1:8" ht="19.95" customHeight="1" x14ac:dyDescent="0.3">
      <c r="A65" s="2" t="s">
        <v>125</v>
      </c>
      <c r="B65" s="2" t="s">
        <v>126</v>
      </c>
      <c r="C65" s="2" t="s">
        <v>223</v>
      </c>
      <c r="D65" s="2" t="s">
        <v>224</v>
      </c>
      <c r="E65" s="2" t="s">
        <v>225</v>
      </c>
      <c r="F65" s="2" t="s">
        <v>226</v>
      </c>
      <c r="G65" s="2" t="s">
        <v>15</v>
      </c>
      <c r="H65" s="2"/>
    </row>
    <row r="66" spans="1:8" ht="19.95" customHeight="1" x14ac:dyDescent="0.3">
      <c r="A66" s="3" t="s">
        <v>125</v>
      </c>
      <c r="B66" s="3" t="s">
        <v>126</v>
      </c>
      <c r="C66" s="3" t="s">
        <v>227</v>
      </c>
      <c r="D66" s="3" t="s">
        <v>228</v>
      </c>
      <c r="E66" s="3" t="s">
        <v>129</v>
      </c>
      <c r="F66" s="3" t="s">
        <v>229</v>
      </c>
      <c r="G66" s="3" t="s">
        <v>15</v>
      </c>
      <c r="H66" s="3"/>
    </row>
    <row r="67" spans="1:8" ht="19.95" customHeight="1" x14ac:dyDescent="0.3">
      <c r="A67" s="2" t="s">
        <v>125</v>
      </c>
      <c r="B67" s="2" t="s">
        <v>126</v>
      </c>
      <c r="C67" s="2" t="s">
        <v>230</v>
      </c>
      <c r="D67" s="2" t="s">
        <v>231</v>
      </c>
      <c r="E67" s="2" t="s">
        <v>129</v>
      </c>
      <c r="F67" s="2" t="s">
        <v>232</v>
      </c>
      <c r="G67" s="2" t="s">
        <v>15</v>
      </c>
      <c r="H67" s="2"/>
    </row>
    <row r="68" spans="1:8" ht="19.95" customHeight="1" x14ac:dyDescent="0.3">
      <c r="A68" s="3" t="s">
        <v>125</v>
      </c>
      <c r="B68" s="3" t="s">
        <v>126</v>
      </c>
      <c r="C68" s="3" t="s">
        <v>233</v>
      </c>
      <c r="D68" s="3" t="s">
        <v>234</v>
      </c>
      <c r="E68" s="3" t="s">
        <v>129</v>
      </c>
      <c r="F68" s="3" t="s">
        <v>235</v>
      </c>
      <c r="G68" s="3" t="s">
        <v>15</v>
      </c>
      <c r="H68" s="3"/>
    </row>
    <row r="69" spans="1:8" ht="19.95" customHeight="1" x14ac:dyDescent="0.3">
      <c r="A69" s="2" t="s">
        <v>125</v>
      </c>
      <c r="B69" s="2" t="s">
        <v>126</v>
      </c>
      <c r="C69" s="2" t="s">
        <v>236</v>
      </c>
      <c r="D69" s="2" t="s">
        <v>237</v>
      </c>
      <c r="E69" s="2" t="s">
        <v>129</v>
      </c>
      <c r="F69" s="2" t="s">
        <v>238</v>
      </c>
      <c r="G69" s="2" t="s">
        <v>15</v>
      </c>
      <c r="H69" s="2"/>
    </row>
    <row r="70" spans="1:8" ht="19.95" customHeight="1" x14ac:dyDescent="0.3">
      <c r="A70" s="2" t="s">
        <v>125</v>
      </c>
      <c r="B70" s="2" t="s">
        <v>126</v>
      </c>
      <c r="C70" s="2" t="s">
        <v>239</v>
      </c>
      <c r="D70" s="2" t="s">
        <v>240</v>
      </c>
      <c r="E70" s="2" t="s">
        <v>129</v>
      </c>
      <c r="F70" s="2" t="s">
        <v>241</v>
      </c>
      <c r="G70" s="2" t="s">
        <v>15</v>
      </c>
      <c r="H70" s="2"/>
    </row>
    <row r="71" spans="1:8" ht="19.95" customHeight="1" x14ac:dyDescent="0.3">
      <c r="A71" s="3" t="s">
        <v>125</v>
      </c>
      <c r="B71" s="3" t="s">
        <v>126</v>
      </c>
      <c r="C71" s="3" t="s">
        <v>242</v>
      </c>
      <c r="D71" s="3" t="s">
        <v>243</v>
      </c>
      <c r="E71" s="3" t="s">
        <v>129</v>
      </c>
      <c r="F71" s="3" t="s">
        <v>244</v>
      </c>
      <c r="G71" s="3" t="s">
        <v>15</v>
      </c>
      <c r="H71" s="3"/>
    </row>
    <row r="72" spans="1:8" ht="19.95" customHeight="1" x14ac:dyDescent="0.3">
      <c r="A72" s="2" t="s">
        <v>125</v>
      </c>
      <c r="B72" s="2" t="s">
        <v>126</v>
      </c>
      <c r="C72" s="2" t="s">
        <v>245</v>
      </c>
      <c r="D72" s="2" t="s">
        <v>246</v>
      </c>
      <c r="E72" s="2" t="s">
        <v>247</v>
      </c>
      <c r="F72" s="2" t="s">
        <v>248</v>
      </c>
      <c r="G72" s="2" t="s">
        <v>15</v>
      </c>
      <c r="H72" s="2"/>
    </row>
    <row r="73" spans="1:8" ht="19.95" customHeight="1" x14ac:dyDescent="0.3">
      <c r="A73" s="2" t="s">
        <v>249</v>
      </c>
      <c r="B73" s="2" t="s">
        <v>250</v>
      </c>
      <c r="C73" s="2" t="s">
        <v>252</v>
      </c>
      <c r="D73" s="2" t="s">
        <v>97</v>
      </c>
      <c r="E73" s="2" t="s">
        <v>251</v>
      </c>
      <c r="F73" s="2" t="s">
        <v>253</v>
      </c>
      <c r="G73" s="2" t="s">
        <v>15</v>
      </c>
      <c r="H73" s="2"/>
    </row>
    <row r="74" spans="1:8" ht="19.95" customHeight="1" x14ac:dyDescent="0.3">
      <c r="A74" s="3" t="s">
        <v>249</v>
      </c>
      <c r="B74" s="3" t="s">
        <v>250</v>
      </c>
      <c r="C74" s="3" t="s">
        <v>254</v>
      </c>
      <c r="D74" s="3" t="s">
        <v>255</v>
      </c>
      <c r="E74" s="3" t="s">
        <v>256</v>
      </c>
      <c r="F74" s="3" t="s">
        <v>257</v>
      </c>
      <c r="G74" s="3" t="s">
        <v>15</v>
      </c>
      <c r="H74" s="3"/>
    </row>
    <row r="75" spans="1:8" ht="19.95" customHeight="1" x14ac:dyDescent="0.3">
      <c r="A75" s="2" t="s">
        <v>249</v>
      </c>
      <c r="B75" s="2" t="s">
        <v>250</v>
      </c>
      <c r="C75" s="2" t="s">
        <v>258</v>
      </c>
      <c r="D75" s="2" t="s">
        <v>259</v>
      </c>
      <c r="E75" s="2" t="s">
        <v>260</v>
      </c>
      <c r="F75" s="2" t="s">
        <v>261</v>
      </c>
      <c r="G75" s="2" t="s">
        <v>15</v>
      </c>
      <c r="H75" s="2"/>
    </row>
    <row r="76" spans="1:8" ht="19.95" customHeight="1" x14ac:dyDescent="0.3">
      <c r="A76" s="3" t="s">
        <v>249</v>
      </c>
      <c r="B76" s="3" t="s">
        <v>250</v>
      </c>
      <c r="C76" s="3" t="s">
        <v>262</v>
      </c>
      <c r="D76" s="3" t="s">
        <v>115</v>
      </c>
      <c r="E76" s="3" t="s">
        <v>263</v>
      </c>
      <c r="F76" s="3" t="s">
        <v>264</v>
      </c>
      <c r="G76" s="3" t="s">
        <v>15</v>
      </c>
      <c r="H76" s="3"/>
    </row>
    <row r="77" spans="1:8" ht="19.95" customHeight="1" x14ac:dyDescent="0.3">
      <c r="A77" s="2" t="s">
        <v>249</v>
      </c>
      <c r="B77" s="2" t="s">
        <v>250</v>
      </c>
      <c r="C77" s="2" t="s">
        <v>265</v>
      </c>
      <c r="D77" s="2" t="s">
        <v>266</v>
      </c>
      <c r="E77" s="2" t="s">
        <v>260</v>
      </c>
      <c r="F77" s="2" t="s">
        <v>267</v>
      </c>
      <c r="G77" s="2" t="s">
        <v>15</v>
      </c>
      <c r="H77" s="2"/>
    </row>
    <row r="78" spans="1:8" ht="19.95" customHeight="1" x14ac:dyDescent="0.3">
      <c r="A78" s="2" t="s">
        <v>249</v>
      </c>
      <c r="B78" s="2" t="s">
        <v>250</v>
      </c>
      <c r="C78" s="2" t="s">
        <v>269</v>
      </c>
      <c r="D78" s="2" t="s">
        <v>270</v>
      </c>
      <c r="E78" s="2" t="s">
        <v>251</v>
      </c>
      <c r="F78" s="2" t="s">
        <v>271</v>
      </c>
      <c r="G78" s="2" t="s">
        <v>15</v>
      </c>
      <c r="H78" s="2"/>
    </row>
    <row r="79" spans="1:8" ht="19.95" customHeight="1" x14ac:dyDescent="0.3">
      <c r="A79" s="3" t="s">
        <v>272</v>
      </c>
      <c r="B79" s="3" t="s">
        <v>273</v>
      </c>
      <c r="C79" s="3" t="s">
        <v>274</v>
      </c>
      <c r="D79" s="3" t="s">
        <v>275</v>
      </c>
      <c r="E79" s="3" t="s">
        <v>276</v>
      </c>
      <c r="F79" s="3" t="s">
        <v>277</v>
      </c>
      <c r="G79" s="3" t="s">
        <v>15</v>
      </c>
      <c r="H79" s="3"/>
    </row>
    <row r="80" spans="1:8" ht="19.95" customHeight="1" x14ac:dyDescent="0.3">
      <c r="A80" s="2" t="s">
        <v>272</v>
      </c>
      <c r="B80" s="2" t="s">
        <v>273</v>
      </c>
      <c r="C80" s="2" t="s">
        <v>278</v>
      </c>
      <c r="D80" s="2" t="s">
        <v>279</v>
      </c>
      <c r="E80" s="2" t="s">
        <v>280</v>
      </c>
      <c r="F80" s="2" t="s">
        <v>281</v>
      </c>
      <c r="G80" s="2" t="s">
        <v>15</v>
      </c>
      <c r="H80" s="2"/>
    </row>
    <row r="81" spans="1:8" ht="19.95" customHeight="1" x14ac:dyDescent="0.3">
      <c r="A81" s="3" t="s">
        <v>272</v>
      </c>
      <c r="B81" s="3" t="s">
        <v>273</v>
      </c>
      <c r="C81" s="3" t="s">
        <v>282</v>
      </c>
      <c r="D81" s="3" t="s">
        <v>34</v>
      </c>
      <c r="E81" s="3" t="s">
        <v>283</v>
      </c>
      <c r="F81" s="3" t="s">
        <v>284</v>
      </c>
      <c r="G81" s="3" t="s">
        <v>15</v>
      </c>
      <c r="H81" s="3"/>
    </row>
    <row r="82" spans="1:8" ht="19.95" customHeight="1" x14ac:dyDescent="0.3">
      <c r="A82" s="2" t="s">
        <v>272</v>
      </c>
      <c r="B82" s="2" t="s">
        <v>273</v>
      </c>
      <c r="C82" s="2" t="s">
        <v>282</v>
      </c>
      <c r="D82" s="2" t="s">
        <v>285</v>
      </c>
      <c r="E82" s="2" t="s">
        <v>276</v>
      </c>
      <c r="F82" s="2" t="s">
        <v>286</v>
      </c>
      <c r="G82" s="2" t="s">
        <v>15</v>
      </c>
      <c r="H82" s="2"/>
    </row>
    <row r="83" spans="1:8" ht="19.95" customHeight="1" x14ac:dyDescent="0.3">
      <c r="A83" s="3" t="s">
        <v>272</v>
      </c>
      <c r="B83" s="3" t="s">
        <v>273</v>
      </c>
      <c r="C83" s="3" t="s">
        <v>287</v>
      </c>
      <c r="D83" s="3" t="s">
        <v>288</v>
      </c>
      <c r="E83" s="3" t="s">
        <v>276</v>
      </c>
      <c r="F83" s="3" t="s">
        <v>289</v>
      </c>
      <c r="G83" s="3" t="s">
        <v>15</v>
      </c>
      <c r="H83" s="3"/>
    </row>
    <row r="84" spans="1:8" ht="19.95" customHeight="1" x14ac:dyDescent="0.3">
      <c r="A84" s="2" t="s">
        <v>272</v>
      </c>
      <c r="B84" s="2" t="s">
        <v>273</v>
      </c>
      <c r="C84" s="2" t="s">
        <v>290</v>
      </c>
      <c r="D84" s="2" t="s">
        <v>291</v>
      </c>
      <c r="E84" s="2" t="s">
        <v>276</v>
      </c>
      <c r="F84" s="2" t="s">
        <v>292</v>
      </c>
      <c r="G84" s="2" t="s">
        <v>15</v>
      </c>
      <c r="H84" s="2"/>
    </row>
    <row r="85" spans="1:8" ht="19.95" customHeight="1" x14ac:dyDescent="0.3">
      <c r="A85" s="3" t="s">
        <v>272</v>
      </c>
      <c r="B85" s="3" t="s">
        <v>273</v>
      </c>
      <c r="C85" s="3" t="s">
        <v>293</v>
      </c>
      <c r="D85" s="3" t="s">
        <v>17</v>
      </c>
      <c r="E85" s="3" t="s">
        <v>276</v>
      </c>
      <c r="F85" s="3" t="s">
        <v>294</v>
      </c>
      <c r="G85" s="3" t="s">
        <v>15</v>
      </c>
      <c r="H85" s="3"/>
    </row>
    <row r="86" spans="1:8" ht="19.95" customHeight="1" x14ac:dyDescent="0.3">
      <c r="A86" s="2" t="s">
        <v>272</v>
      </c>
      <c r="B86" s="2" t="s">
        <v>273</v>
      </c>
      <c r="C86" s="2" t="s">
        <v>16</v>
      </c>
      <c r="D86" s="2" t="s">
        <v>295</v>
      </c>
      <c r="E86" s="2" t="s">
        <v>276</v>
      </c>
      <c r="F86" s="2" t="s">
        <v>296</v>
      </c>
      <c r="G86" s="2" t="s">
        <v>15</v>
      </c>
      <c r="H86" s="2"/>
    </row>
    <row r="87" spans="1:8" ht="19.95" customHeight="1" x14ac:dyDescent="0.3">
      <c r="A87" s="3" t="s">
        <v>272</v>
      </c>
      <c r="B87" s="3" t="s">
        <v>273</v>
      </c>
      <c r="C87" s="3" t="s">
        <v>297</v>
      </c>
      <c r="D87" s="3" t="s">
        <v>268</v>
      </c>
      <c r="E87" s="3" t="s">
        <v>276</v>
      </c>
      <c r="F87" s="3" t="s">
        <v>298</v>
      </c>
      <c r="G87" s="3" t="s">
        <v>15</v>
      </c>
      <c r="H87" s="3"/>
    </row>
    <row r="88" spans="1:8" ht="19.95" customHeight="1" x14ac:dyDescent="0.3">
      <c r="A88" s="2" t="s">
        <v>272</v>
      </c>
      <c r="B88" s="2" t="s">
        <v>273</v>
      </c>
      <c r="C88" s="2" t="s">
        <v>299</v>
      </c>
      <c r="D88" s="2" t="s">
        <v>300</v>
      </c>
      <c r="E88" s="2" t="s">
        <v>276</v>
      </c>
      <c r="F88" s="2" t="s">
        <v>301</v>
      </c>
      <c r="G88" s="2" t="s">
        <v>15</v>
      </c>
      <c r="H88" s="2"/>
    </row>
    <row r="89" spans="1:8" ht="19.95" customHeight="1" x14ac:dyDescent="0.3">
      <c r="A89" s="3" t="s">
        <v>272</v>
      </c>
      <c r="B89" s="3" t="s">
        <v>273</v>
      </c>
      <c r="C89" s="3" t="s">
        <v>302</v>
      </c>
      <c r="D89" s="3" t="s">
        <v>303</v>
      </c>
      <c r="E89" s="3" t="s">
        <v>276</v>
      </c>
      <c r="F89" s="3" t="s">
        <v>304</v>
      </c>
      <c r="G89" s="3" t="s">
        <v>15</v>
      </c>
      <c r="H89" s="3"/>
    </row>
    <row r="90" spans="1:8" ht="19.95" customHeight="1" x14ac:dyDescent="0.3">
      <c r="A90" s="2" t="s">
        <v>272</v>
      </c>
      <c r="B90" s="2" t="s">
        <v>273</v>
      </c>
      <c r="C90" s="2" t="s">
        <v>305</v>
      </c>
      <c r="D90" s="2" t="s">
        <v>306</v>
      </c>
      <c r="E90" s="2" t="s">
        <v>276</v>
      </c>
      <c r="F90" s="2" t="s">
        <v>307</v>
      </c>
      <c r="G90" s="2" t="s">
        <v>15</v>
      </c>
      <c r="H90" s="2"/>
    </row>
    <row r="91" spans="1:8" ht="19.95" customHeight="1" x14ac:dyDescent="0.3">
      <c r="A91" s="2" t="s">
        <v>272</v>
      </c>
      <c r="B91" s="2" t="s">
        <v>273</v>
      </c>
      <c r="C91" s="2" t="s">
        <v>308</v>
      </c>
      <c r="D91" s="2" t="s">
        <v>309</v>
      </c>
      <c r="E91" s="2" t="s">
        <v>310</v>
      </c>
      <c r="F91" s="2" t="s">
        <v>311</v>
      </c>
      <c r="G91" s="2" t="s">
        <v>15</v>
      </c>
      <c r="H91" s="2"/>
    </row>
    <row r="92" spans="1:8" ht="19.95" customHeight="1" x14ac:dyDescent="0.3">
      <c r="A92" s="3" t="s">
        <v>272</v>
      </c>
      <c r="B92" s="3" t="s">
        <v>273</v>
      </c>
      <c r="C92" s="3" t="s">
        <v>312</v>
      </c>
      <c r="D92" s="3" t="s">
        <v>313</v>
      </c>
      <c r="E92" s="3" t="s">
        <v>276</v>
      </c>
      <c r="F92" s="3" t="s">
        <v>314</v>
      </c>
      <c r="G92" s="3" t="s">
        <v>15</v>
      </c>
      <c r="H92" s="3"/>
    </row>
    <row r="93" spans="1:8" ht="19.95" customHeight="1" x14ac:dyDescent="0.3">
      <c r="A93" s="2" t="s">
        <v>315</v>
      </c>
      <c r="B93" s="2" t="s">
        <v>316</v>
      </c>
      <c r="C93" s="2" t="s">
        <v>317</v>
      </c>
      <c r="D93" s="2" t="s">
        <v>318</v>
      </c>
      <c r="E93" s="2" t="s">
        <v>319</v>
      </c>
      <c r="F93" s="2" t="s">
        <v>320</v>
      </c>
      <c r="G93" s="2" t="s">
        <v>15</v>
      </c>
      <c r="H93" s="2"/>
    </row>
    <row r="94" spans="1:8" ht="19.95" customHeight="1" x14ac:dyDescent="0.3">
      <c r="A94" s="2" t="s">
        <v>315</v>
      </c>
      <c r="B94" s="2" t="s">
        <v>316</v>
      </c>
      <c r="C94" s="2" t="s">
        <v>220</v>
      </c>
      <c r="D94" s="2" t="s">
        <v>321</v>
      </c>
      <c r="E94" s="2" t="s">
        <v>322</v>
      </c>
      <c r="F94" s="2" t="s">
        <v>323</v>
      </c>
      <c r="G94" s="2" t="s">
        <v>15</v>
      </c>
      <c r="H94" s="2"/>
    </row>
    <row r="95" spans="1:8" ht="1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19.95" customHeight="1" x14ac:dyDescent="0.3">
      <c r="A96" s="2"/>
      <c r="B96" s="2"/>
      <c r="C96" s="2"/>
      <c r="D96" s="2"/>
      <c r="E96" s="2"/>
      <c r="F96" s="2"/>
      <c r="G96" s="2"/>
      <c r="H96" s="2"/>
    </row>
    <row r="97" spans="1:8" ht="19.95" customHeight="1" x14ac:dyDescent="0.3">
      <c r="A97" s="3"/>
      <c r="B97" s="3"/>
      <c r="C97" s="3"/>
      <c r="D97" s="3"/>
      <c r="E97" s="3"/>
      <c r="F97" s="3"/>
      <c r="G97" s="3"/>
      <c r="H97" s="3"/>
    </row>
    <row r="98" spans="1:8" ht="19.95" customHeight="1" x14ac:dyDescent="0.3">
      <c r="A98" s="2"/>
      <c r="B98" s="2"/>
      <c r="C98" s="2"/>
      <c r="D98" s="2"/>
      <c r="E98" s="2"/>
      <c r="F98" s="2"/>
      <c r="G98" s="2"/>
      <c r="H98" s="2"/>
    </row>
    <row r="99" spans="1:8" ht="1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19.95" customHeight="1" x14ac:dyDescent="0.3">
      <c r="A100" s="2"/>
      <c r="B100" s="2"/>
      <c r="C100" s="2"/>
      <c r="D100" s="2"/>
      <c r="E100" s="2"/>
      <c r="F100" s="2"/>
      <c r="G100" s="2"/>
      <c r="H100" s="2"/>
    </row>
    <row r="101" spans="1:8" ht="19.95" customHeight="1" x14ac:dyDescent="0.3">
      <c r="A101" s="3"/>
      <c r="B101" s="3"/>
      <c r="C101" s="3"/>
      <c r="D101" s="3"/>
      <c r="E101" s="3"/>
      <c r="F101" s="3"/>
      <c r="G101" s="3"/>
      <c r="H101" s="3"/>
    </row>
    <row r="102" spans="1:8" ht="19.95" customHeight="1" x14ac:dyDescent="0.3">
      <c r="A102" s="2"/>
      <c r="B102" s="2"/>
      <c r="C102" s="2"/>
      <c r="D102" s="2"/>
      <c r="E102" s="2"/>
      <c r="F102" s="2"/>
      <c r="G102" s="2"/>
      <c r="H102" s="2"/>
    </row>
    <row r="103" spans="1:8" ht="1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19.95" customHeight="1" x14ac:dyDescent="0.3">
      <c r="A104" s="2"/>
      <c r="B104" s="2"/>
      <c r="C104" s="2"/>
      <c r="D104" s="2"/>
      <c r="E104" s="2"/>
      <c r="F104" s="2"/>
      <c r="G104" s="2"/>
      <c r="H104" s="2"/>
    </row>
    <row r="105" spans="1:8" ht="19.95" customHeight="1" x14ac:dyDescent="0.3">
      <c r="A105" s="3"/>
      <c r="B105" s="3"/>
      <c r="C105" s="3"/>
      <c r="D105" s="3"/>
      <c r="E105" s="3"/>
      <c r="F105" s="3"/>
      <c r="G105" s="3"/>
      <c r="H105" s="3"/>
    </row>
    <row r="106" spans="1:8" ht="19.95" customHeight="1" x14ac:dyDescent="0.3">
      <c r="A106" s="2"/>
      <c r="B106" s="2"/>
      <c r="C106" s="2"/>
      <c r="D106" s="2"/>
      <c r="E106" s="2"/>
      <c r="F106" s="2"/>
      <c r="G106" s="2"/>
      <c r="H106" s="2"/>
    </row>
    <row r="107" spans="1:8" ht="1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19.95" customHeight="1" x14ac:dyDescent="0.3">
      <c r="A108" s="2"/>
      <c r="B108" s="2"/>
      <c r="C108" s="2"/>
      <c r="D108" s="2"/>
      <c r="E108" s="2"/>
      <c r="F108" s="2"/>
      <c r="G108" s="2"/>
      <c r="H108" s="2"/>
    </row>
    <row r="109" spans="1:8" ht="19.95" customHeight="1" x14ac:dyDescent="0.3">
      <c r="A109" s="3"/>
      <c r="B109" s="3"/>
      <c r="C109" s="3"/>
      <c r="D109" s="3"/>
      <c r="E109" s="3"/>
      <c r="F109" s="3"/>
      <c r="G109" s="3"/>
      <c r="H109" s="3"/>
    </row>
    <row r="110" spans="1:8" ht="19.95" customHeight="1" x14ac:dyDescent="0.3">
      <c r="A110" s="2"/>
      <c r="B110" s="2"/>
      <c r="C110" s="2"/>
      <c r="D110" s="2"/>
      <c r="E110" s="2"/>
      <c r="F110" s="2"/>
      <c r="G110" s="2"/>
      <c r="H110" s="2"/>
    </row>
    <row r="111" spans="1:8" ht="1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19.95" customHeight="1" x14ac:dyDescent="0.3">
      <c r="A112" s="2"/>
      <c r="B112" s="2"/>
      <c r="C112" s="2"/>
      <c r="D112" s="2"/>
      <c r="E112" s="2"/>
      <c r="F112" s="2"/>
      <c r="G112" s="2"/>
      <c r="H112" s="2"/>
    </row>
    <row r="113" spans="1:8" ht="19.95" customHeight="1" x14ac:dyDescent="0.3">
      <c r="A113" s="3"/>
      <c r="B113" s="3"/>
      <c r="C113" s="3"/>
      <c r="D113" s="3"/>
      <c r="E113" s="3"/>
      <c r="F113" s="3"/>
      <c r="G113" s="3"/>
      <c r="H113" s="3"/>
    </row>
    <row r="114" spans="1:8" ht="19.95" customHeight="1" x14ac:dyDescent="0.3">
      <c r="A114" s="2"/>
      <c r="B114" s="2"/>
      <c r="C114" s="2"/>
      <c r="D114" s="2"/>
      <c r="E114" s="2"/>
      <c r="F114" s="2"/>
      <c r="G114" s="2"/>
      <c r="H114" s="2"/>
    </row>
  </sheetData>
  <mergeCells count="1">
    <mergeCell ref="A1:H1"/>
  </mergeCells>
  <dataValidations count="2">
    <dataValidation type="list" allowBlank="1" sqref="A3:A114" xr:uid="{00000000-0002-0000-0000-000000000000}">
      <formula1>"Alan Burk,Jose Manjarrez,Tony Shipka,Jeanell Coral,Philip Jones,Abbey Parker,Lauren Calvey"</formula1>
    </dataValidation>
    <dataValidation type="list" allowBlank="1" sqref="G3:G114" xr:uid="{00000000-0002-0000-0000-000001000000}">
      <formula1>"Not Scheduled,Scheduled,In Training,Completed,Needs Follow-up"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workbookViewId="0"/>
  </sheetViews>
  <sheetFormatPr defaultRowHeight="14.4" x14ac:dyDescent="0.3"/>
  <cols>
    <col min="1" max="1" width="24" customWidth="1"/>
    <col min="2" max="2" width="36" customWidth="1"/>
    <col min="3" max="3" width="14" customWidth="1"/>
    <col min="4" max="4" width="16" customWidth="1"/>
    <col min="5" max="7" width="14" customWidth="1"/>
    <col min="8" max="8" width="18" customWidth="1"/>
  </cols>
  <sheetData>
    <row r="1" spans="1:8" ht="36" customHeight="1" x14ac:dyDescent="0.3">
      <c r="A1" s="17" t="s">
        <v>324</v>
      </c>
      <c r="B1" s="18"/>
      <c r="C1" s="18"/>
      <c r="D1" s="18"/>
      <c r="E1" s="18"/>
      <c r="F1" s="18"/>
      <c r="G1" s="18"/>
      <c r="H1" s="18"/>
    </row>
    <row r="2" spans="1:8" ht="22.05" customHeight="1" x14ac:dyDescent="0.3">
      <c r="A2" s="1" t="s">
        <v>1</v>
      </c>
      <c r="B2" s="1" t="s">
        <v>2</v>
      </c>
      <c r="C2" s="1" t="s">
        <v>325</v>
      </c>
      <c r="D2" s="1" t="s">
        <v>15</v>
      </c>
      <c r="E2" s="1" t="s">
        <v>326</v>
      </c>
      <c r="F2" s="1" t="s">
        <v>327</v>
      </c>
      <c r="G2" s="1" t="s">
        <v>328</v>
      </c>
      <c r="H2" s="1" t="s">
        <v>329</v>
      </c>
    </row>
    <row r="3" spans="1:8" ht="22.05" customHeight="1" x14ac:dyDescent="0.3">
      <c r="A3" s="4" t="s">
        <v>9</v>
      </c>
      <c r="B3" s="2" t="s">
        <v>10</v>
      </c>
      <c r="C3" s="5">
        <f>COUNTIF(Roster!A:A,A3)</f>
        <v>4</v>
      </c>
      <c r="D3" s="6">
        <f>COUNTIFS(Roster!A:A,A3,Roster!G:G,"Not Scheduled")</f>
        <v>4</v>
      </c>
      <c r="E3" s="6">
        <f>COUNTIFS(Roster!A:A,A3,Roster!G:G,"Scheduled")</f>
        <v>0</v>
      </c>
      <c r="F3" s="6">
        <f>COUNTIFS(Roster!A:A,A3,Roster!G:G,"In Training")</f>
        <v>0</v>
      </c>
      <c r="G3" s="6">
        <f>COUNTIFS(Roster!A:A,A3,Roster!G:G,"Completed")</f>
        <v>0</v>
      </c>
      <c r="H3" s="6">
        <f>COUNTIFS(Roster!A:A,A3,Roster!G:G,"Needs Follow-up")</f>
        <v>0</v>
      </c>
    </row>
    <row r="4" spans="1:8" ht="22.05" customHeight="1" x14ac:dyDescent="0.3">
      <c r="A4" s="7" t="s">
        <v>28</v>
      </c>
      <c r="B4" s="3" t="s">
        <v>29</v>
      </c>
      <c r="C4" s="8">
        <f>COUNTIF(Roster!A:A,A4)</f>
        <v>21</v>
      </c>
      <c r="D4" s="9">
        <f>COUNTIFS(Roster!A:A,A4,Roster!G:G,"Not Scheduled")</f>
        <v>21</v>
      </c>
      <c r="E4" s="9">
        <f>COUNTIFS(Roster!A:A,A4,Roster!G:G,"Scheduled")</f>
        <v>0</v>
      </c>
      <c r="F4" s="9">
        <f>COUNTIFS(Roster!A:A,A4,Roster!G:G,"In Training")</f>
        <v>0</v>
      </c>
      <c r="G4" s="9">
        <f>COUNTIFS(Roster!A:A,A4,Roster!G:G,"Completed")</f>
        <v>0</v>
      </c>
      <c r="H4" s="9">
        <f>COUNTIFS(Roster!A:A,A4,Roster!G:G,"Needs Follow-up")</f>
        <v>0</v>
      </c>
    </row>
    <row r="5" spans="1:8" ht="22.05" customHeight="1" x14ac:dyDescent="0.3">
      <c r="A5" s="4" t="s">
        <v>94</v>
      </c>
      <c r="B5" s="2" t="s">
        <v>95</v>
      </c>
      <c r="C5" s="5">
        <f>COUNTIF(Roster!A:A,A5)</f>
        <v>8</v>
      </c>
      <c r="D5" s="6">
        <f>COUNTIFS(Roster!A:A,A5,Roster!G:G,"Not Scheduled")</f>
        <v>8</v>
      </c>
      <c r="E5" s="6">
        <f>COUNTIFS(Roster!A:A,A5,Roster!G:G,"Scheduled")</f>
        <v>0</v>
      </c>
      <c r="F5" s="6">
        <f>COUNTIFS(Roster!A:A,A5,Roster!G:G,"In Training")</f>
        <v>0</v>
      </c>
      <c r="G5" s="6">
        <f>COUNTIFS(Roster!A:A,A5,Roster!G:G,"Completed")</f>
        <v>0</v>
      </c>
      <c r="H5" s="6">
        <f>COUNTIFS(Roster!A:A,A5,Roster!G:G,"Needs Follow-up")</f>
        <v>0</v>
      </c>
    </row>
    <row r="6" spans="1:8" ht="22.05" customHeight="1" x14ac:dyDescent="0.3">
      <c r="A6" s="7" t="s">
        <v>125</v>
      </c>
      <c r="B6" s="3" t="s">
        <v>330</v>
      </c>
      <c r="C6" s="8">
        <f>COUNTIF(Roster!A:A,A6)</f>
        <v>37</v>
      </c>
      <c r="D6" s="9">
        <f>COUNTIFS(Roster!A:A,A6,Roster!G:G,"Not Scheduled")</f>
        <v>37</v>
      </c>
      <c r="E6" s="9">
        <f>COUNTIFS(Roster!A:A,A6,Roster!G:G,"Scheduled")</f>
        <v>0</v>
      </c>
      <c r="F6" s="9">
        <f>COUNTIFS(Roster!A:A,A6,Roster!G:G,"In Training")</f>
        <v>0</v>
      </c>
      <c r="G6" s="9">
        <f>COUNTIFS(Roster!A:A,A6,Roster!G:G,"Completed")</f>
        <v>0</v>
      </c>
      <c r="H6" s="9">
        <f>COUNTIFS(Roster!A:A,A6,Roster!G:G,"Needs Follow-up")</f>
        <v>0</v>
      </c>
    </row>
    <row r="7" spans="1:8" ht="22.05" customHeight="1" x14ac:dyDescent="0.3">
      <c r="A7" s="4" t="s">
        <v>249</v>
      </c>
      <c r="B7" s="2" t="s">
        <v>331</v>
      </c>
      <c r="C7" s="5">
        <f>COUNTIF(Roster!A:A,A7)</f>
        <v>6</v>
      </c>
      <c r="D7" s="6">
        <f>COUNTIFS(Roster!A:A,A7,Roster!G:G,"Not Scheduled")</f>
        <v>6</v>
      </c>
      <c r="E7" s="6">
        <f>COUNTIFS(Roster!A:A,A7,Roster!G:G,"Scheduled")</f>
        <v>0</v>
      </c>
      <c r="F7" s="6">
        <f>COUNTIFS(Roster!A:A,A7,Roster!G:G,"In Training")</f>
        <v>0</v>
      </c>
      <c r="G7" s="6">
        <f>COUNTIFS(Roster!A:A,A7,Roster!G:G,"Completed")</f>
        <v>0</v>
      </c>
      <c r="H7" s="6">
        <f>COUNTIFS(Roster!A:A,A7,Roster!G:G,"Needs Follow-up")</f>
        <v>0</v>
      </c>
    </row>
    <row r="8" spans="1:8" ht="22.05" customHeight="1" x14ac:dyDescent="0.3">
      <c r="A8" s="7" t="s">
        <v>272</v>
      </c>
      <c r="B8" s="3" t="s">
        <v>273</v>
      </c>
      <c r="C8" s="8">
        <f>COUNTIF(Roster!A:A,A8)</f>
        <v>14</v>
      </c>
      <c r="D8" s="9">
        <f>COUNTIFS(Roster!A:A,A8,Roster!G:G,"Not Scheduled")</f>
        <v>14</v>
      </c>
      <c r="E8" s="9">
        <f>COUNTIFS(Roster!A:A,A8,Roster!G:G,"Scheduled")</f>
        <v>0</v>
      </c>
      <c r="F8" s="9">
        <f>COUNTIFS(Roster!A:A,A8,Roster!G:G,"In Training")</f>
        <v>0</v>
      </c>
      <c r="G8" s="9">
        <f>COUNTIFS(Roster!A:A,A8,Roster!G:G,"Completed")</f>
        <v>0</v>
      </c>
      <c r="H8" s="9">
        <f>COUNTIFS(Roster!A:A,A8,Roster!G:G,"Needs Follow-up")</f>
        <v>0</v>
      </c>
    </row>
    <row r="9" spans="1:8" ht="22.05" customHeight="1" x14ac:dyDescent="0.3">
      <c r="A9" s="4" t="s">
        <v>315</v>
      </c>
      <c r="B9" s="2" t="s">
        <v>316</v>
      </c>
      <c r="C9" s="5">
        <f>COUNTIF(Roster!A:A,A9)</f>
        <v>2</v>
      </c>
      <c r="D9" s="6">
        <f>COUNTIFS(Roster!A:A,A9,Roster!G:G,"Not Scheduled")</f>
        <v>2</v>
      </c>
      <c r="E9" s="6">
        <f>COUNTIFS(Roster!A:A,A9,Roster!G:G,"Scheduled")</f>
        <v>0</v>
      </c>
      <c r="F9" s="6">
        <f>COUNTIFS(Roster!A:A,A9,Roster!G:G,"In Training")</f>
        <v>0</v>
      </c>
      <c r="G9" s="6">
        <f>COUNTIFS(Roster!A:A,A9,Roster!G:G,"Completed")</f>
        <v>0</v>
      </c>
      <c r="H9" s="6">
        <f>COUNTIFS(Roster!A:A,A9,Roster!G:G,"Needs Follow-up")</f>
        <v>0</v>
      </c>
    </row>
    <row r="10" spans="1:8" ht="22.05" customHeight="1" x14ac:dyDescent="0.3">
      <c r="A10" s="19" t="s">
        <v>332</v>
      </c>
      <c r="B10" s="18"/>
      <c r="C10" s="10">
        <f t="shared" ref="C10:H10" si="0">SUM(C3:C9)</f>
        <v>92</v>
      </c>
      <c r="D10" s="10">
        <f t="shared" si="0"/>
        <v>92</v>
      </c>
      <c r="E10" s="10">
        <f t="shared" si="0"/>
        <v>0</v>
      </c>
      <c r="F10" s="10">
        <f t="shared" si="0"/>
        <v>0</v>
      </c>
      <c r="G10" s="10">
        <f t="shared" si="0"/>
        <v>0</v>
      </c>
      <c r="H10" s="10">
        <f t="shared" si="0"/>
        <v>0</v>
      </c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showGridLines="0" workbookViewId="0"/>
  </sheetViews>
  <sheetFormatPr defaultRowHeight="14.4" x14ac:dyDescent="0.3"/>
  <cols>
    <col min="1" max="1" width="6" customWidth="1"/>
    <col min="2" max="2" width="65" customWidth="1"/>
  </cols>
  <sheetData>
    <row r="1" spans="1:2" ht="36" customHeight="1" x14ac:dyDescent="0.3">
      <c r="A1" s="11"/>
      <c r="B1" s="12" t="s">
        <v>333</v>
      </c>
    </row>
    <row r="2" spans="1:2" ht="19.95" customHeight="1" x14ac:dyDescent="0.3">
      <c r="A2" s="13"/>
      <c r="B2" s="14"/>
    </row>
    <row r="3" spans="1:2" ht="19.95" customHeight="1" x14ac:dyDescent="0.3">
      <c r="A3" s="15" t="s">
        <v>334</v>
      </c>
      <c r="B3" s="16"/>
    </row>
    <row r="4" spans="1:2" ht="19.95" customHeight="1" x14ac:dyDescent="0.3">
      <c r="A4" s="13" t="s">
        <v>335</v>
      </c>
      <c r="B4" s="14" t="s">
        <v>336</v>
      </c>
    </row>
    <row r="5" spans="1:2" ht="19.95" customHeight="1" x14ac:dyDescent="0.3">
      <c r="A5" s="13" t="s">
        <v>337</v>
      </c>
      <c r="B5" s="14" t="s">
        <v>338</v>
      </c>
    </row>
    <row r="6" spans="1:2" ht="19.95" customHeight="1" x14ac:dyDescent="0.3">
      <c r="A6" s="13" t="s">
        <v>339</v>
      </c>
      <c r="B6" s="14" t="s">
        <v>340</v>
      </c>
    </row>
    <row r="7" spans="1:2" ht="19.95" customHeight="1" x14ac:dyDescent="0.3">
      <c r="A7" s="13" t="s">
        <v>341</v>
      </c>
      <c r="B7" s="14" t="s">
        <v>342</v>
      </c>
    </row>
    <row r="8" spans="1:2" ht="19.95" customHeight="1" x14ac:dyDescent="0.3">
      <c r="A8" s="13" t="s">
        <v>343</v>
      </c>
      <c r="B8" s="14" t="s">
        <v>344</v>
      </c>
    </row>
    <row r="9" spans="1:2" ht="19.95" customHeight="1" x14ac:dyDescent="0.3">
      <c r="A9" s="13" t="s">
        <v>345</v>
      </c>
      <c r="B9" s="14" t="s">
        <v>346</v>
      </c>
    </row>
    <row r="10" spans="1:2" ht="19.95" customHeight="1" x14ac:dyDescent="0.3">
      <c r="A10" s="13" t="s">
        <v>347</v>
      </c>
      <c r="B10" s="14" t="s">
        <v>348</v>
      </c>
    </row>
    <row r="11" spans="1:2" ht="19.95" customHeight="1" x14ac:dyDescent="0.3">
      <c r="A11" s="13"/>
      <c r="B11" s="14"/>
    </row>
    <row r="12" spans="1:2" ht="19.95" customHeight="1" x14ac:dyDescent="0.3">
      <c r="A12" s="15" t="s">
        <v>349</v>
      </c>
      <c r="B12" s="16"/>
    </row>
    <row r="13" spans="1:2" ht="19.95" customHeight="1" x14ac:dyDescent="0.3">
      <c r="A13" s="13" t="s">
        <v>350</v>
      </c>
      <c r="B13" s="14" t="s">
        <v>351</v>
      </c>
    </row>
    <row r="14" spans="1:2" ht="19.95" customHeight="1" x14ac:dyDescent="0.3">
      <c r="A14" s="13" t="s">
        <v>350</v>
      </c>
      <c r="B14" s="14" t="s">
        <v>352</v>
      </c>
    </row>
    <row r="15" spans="1:2" ht="19.95" customHeight="1" x14ac:dyDescent="0.3">
      <c r="A15" s="13" t="s">
        <v>350</v>
      </c>
      <c r="B15" s="14" t="s">
        <v>353</v>
      </c>
    </row>
    <row r="16" spans="1:2" ht="19.95" customHeight="1" x14ac:dyDescent="0.3">
      <c r="A16" s="13"/>
      <c r="B16" s="14"/>
    </row>
    <row r="17" spans="1:2" ht="19.95" customHeight="1" x14ac:dyDescent="0.3">
      <c r="A17" s="15" t="s">
        <v>354</v>
      </c>
      <c r="B17" s="16"/>
    </row>
    <row r="18" spans="1:2" ht="19.95" customHeight="1" x14ac:dyDescent="0.3">
      <c r="A18" s="13" t="s">
        <v>350</v>
      </c>
      <c r="B18" s="14" t="s">
        <v>355</v>
      </c>
    </row>
    <row r="19" spans="1:2" ht="19.95" customHeight="1" x14ac:dyDescent="0.3">
      <c r="A19" s="13" t="s">
        <v>350</v>
      </c>
      <c r="B19" s="14" t="s">
        <v>356</v>
      </c>
    </row>
    <row r="20" spans="1:2" ht="19.95" customHeight="1" x14ac:dyDescent="0.3">
      <c r="A20" s="13" t="s">
        <v>350</v>
      </c>
      <c r="B20" s="14" t="s">
        <v>357</v>
      </c>
    </row>
    <row r="21" spans="1:2" ht="19.95" customHeight="1" x14ac:dyDescent="0.3">
      <c r="A21" s="13" t="s">
        <v>350</v>
      </c>
      <c r="B21" s="14" t="s">
        <v>358</v>
      </c>
    </row>
    <row r="22" spans="1:2" ht="19.95" customHeight="1" x14ac:dyDescent="0.3">
      <c r="A22" s="13" t="s">
        <v>350</v>
      </c>
      <c r="B22" s="14" t="s">
        <v>359</v>
      </c>
    </row>
    <row r="23" spans="1:2" ht="19.95" customHeight="1" x14ac:dyDescent="0.3">
      <c r="A23" s="13"/>
      <c r="B23" s="14"/>
    </row>
    <row r="24" spans="1:2" ht="19.95" customHeight="1" x14ac:dyDescent="0.3">
      <c r="A24" s="15" t="s">
        <v>360</v>
      </c>
      <c r="B24" s="16"/>
    </row>
    <row r="25" spans="1:2" ht="19.95" customHeight="1" x14ac:dyDescent="0.3">
      <c r="A25" s="13" t="s">
        <v>350</v>
      </c>
      <c r="B25" s="14" t="s">
        <v>361</v>
      </c>
    </row>
    <row r="26" spans="1:2" ht="19.95" customHeight="1" x14ac:dyDescent="0.3">
      <c r="A26" s="13" t="s">
        <v>350</v>
      </c>
      <c r="B26" s="14" t="s">
        <v>362</v>
      </c>
    </row>
    <row r="27" spans="1:2" ht="19.95" customHeight="1" x14ac:dyDescent="0.3">
      <c r="A27" s="13" t="s">
        <v>350</v>
      </c>
      <c r="B27" s="14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Kristen Bickerstaff</cp:lastModifiedBy>
  <dcterms:created xsi:type="dcterms:W3CDTF">2026-06-08T18:52:35Z</dcterms:created>
  <dcterms:modified xsi:type="dcterms:W3CDTF">2026-06-08T18:57:44Z</dcterms:modified>
</cp:coreProperties>
</file>